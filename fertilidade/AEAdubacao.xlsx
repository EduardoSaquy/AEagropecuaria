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ício" sheetId="1" state="visible" r:id="rId1"/>
    <sheet name="Manual Técnico" sheetId="2" state="visible" r:id="rId2"/>
    <sheet name="Dados de Entrada" sheetId="3" state="visible" r:id="rId3"/>
    <sheet name="Tabelas de Referência" sheetId="4" state="visible" r:id="rId4"/>
    <sheet name="Interpretação" sheetId="5" state="visible" r:id="rId5"/>
    <sheet name="Calagem" sheetId="6" state="visible" r:id="rId6"/>
    <sheet name="Gessagem" sheetId="7" state="visible" r:id="rId7"/>
    <sheet name="BD Culturas" sheetId="8" state="visible" r:id="rId8"/>
    <sheet name="Soja" sheetId="9" state="visible" r:id="rId9"/>
    <sheet name="Milho" sheetId="10" state="visible" r:id="rId10"/>
    <sheet name="Outras Culturas" sheetId="11" state="visible" r:id="rId11"/>
    <sheet name="BD Fertilizantes" sheetId="12" state="visible" r:id="rId12"/>
    <sheet name="Mistura de Fertilizantes" sheetId="13" state="visible" r:id="rId13"/>
    <sheet name="Resumo" sheetId="14" state="visible" r:id="rId14"/>
    <sheet name="Referências" sheetId="15" state="visible" r:id="rId15"/>
  </sheets>
  <definedNames>
    <definedName name="TAB_P_SEQ">'Tabelas de Referência'!$B$7:$C$11</definedName>
    <definedName name="TAB_P_IRR">'Tabelas de Referência'!$B$15:$C$19</definedName>
    <definedName name="TAB_K">'Tabelas de Referência'!$B$23:$C$27</definedName>
    <definedName name="TAB_MO">'Tabelas de Referência'!$B$31:$C$33</definedName>
    <definedName name="TAB_CA">'Tabelas de Referência'!$B$37:$C$39</definedName>
    <definedName name="TAB_MG">'Tabelas de Referência'!$B$43:$C$45</definedName>
    <definedName name="TAB_PH">'Tabelas de Referência'!$B$49:$C$53</definedName>
    <definedName name="TAB_V">'Tabelas de Referência'!$B$57:$C$61</definedName>
    <definedName name="TAB_M">'Tabelas de Referência'!$B$65:$C$68</definedName>
    <definedName name="TAB_ZN">'Tabelas de Referência'!$B$72:$C$74</definedName>
    <definedName name="TAB_CU">'Tabelas de Referência'!$B$78:$C$80</definedName>
    <definedName name="TAB_MN">'Tabelas de Referência'!$B$84:$C$86</definedName>
    <definedName name="TAB_FE">'Tabelas de Referência'!$B$90:$C$92</definedName>
    <definedName name="TAB_B">'Tabelas de Referência'!$B$96:$C$98</definedName>
    <definedName name="TAB_MOL">'Tabelas de Referência'!$B$102:$C$104</definedName>
    <definedName name="TAB_V2_CULTURA">Calagem!$J$16:$K$22</definedName>
    <definedName name="TAB_UF_CERRADO">Calagem!$J$25:$K$51</definedName>
    <definedName name="TAB_CULTURAS">'BD Culturas'!$B$6:$T$12</definedName>
    <definedName name="TAB_EFICIENCIA">'BD Culturas'!$B$20:$D$22</definedName>
    <definedName name="TAB_FATOR_CLASSE">'BD Culturas'!$B$25:$C$30</definedName>
    <definedName name="TAB_MICRO_DOSE">'BD Culturas'!$A$33:$D$47</definedName>
    <definedName name="TAB_FERT">'BD Fertilizantes'!$B$6:$Q$36</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2">
    <font>
      <name val="Calibri"/>
      <family val="2"/>
      <color theme="1"/>
      <sz val="11"/>
      <scheme val="minor"/>
    </font>
    <font>
      <name val="Calibri"/>
      <b val="1"/>
      <color rgb="00FFFFFF"/>
      <sz val="16"/>
    </font>
    <font>
      <name val="Calibri"/>
      <i val="1"/>
      <color rgb="00404040"/>
      <sz val="11"/>
    </font>
    <font>
      <name val="Calibri"/>
      <b val="1"/>
      <color rgb="00FFFFFF"/>
      <sz val="12"/>
    </font>
    <font>
      <name val="Calibri"/>
      <color rgb="00000000"/>
      <sz val="10"/>
    </font>
    <font>
      <name val="Calibri"/>
      <b val="1"/>
      <color rgb="00FFFFFF"/>
      <sz val="10"/>
    </font>
    <font>
      <name val="Calibri"/>
      <b val="1"/>
      <color rgb="00000000"/>
      <sz val="10"/>
    </font>
    <font>
      <name val="Calibri"/>
      <i val="1"/>
      <color rgb="007F1D1D"/>
      <sz val="10"/>
    </font>
    <font>
      <name val="Calibri"/>
      <color rgb="000000CC"/>
      <sz val="10"/>
    </font>
    <font>
      <name val="Calibri"/>
      <i val="1"/>
      <color rgb="007F7F7F"/>
      <sz val="9"/>
    </font>
    <font>
      <name val="Calibri"/>
      <i val="1"/>
      <color rgb="00006100"/>
      <sz val="10"/>
    </font>
    <font>
      <color rgb="00FFFFFF"/>
      <sz val="1"/>
    </font>
  </fonts>
  <fills count="10">
    <fill>
      <patternFill/>
    </fill>
    <fill>
      <patternFill patternType="gray125"/>
    </fill>
    <fill>
      <patternFill patternType="solid">
        <fgColor rgb="001F4E3D"/>
        <bgColor rgb="001F4E3D"/>
      </patternFill>
    </fill>
    <fill>
      <patternFill patternType="solid">
        <fgColor rgb="002E7D32"/>
        <bgColor rgb="002E7D32"/>
      </patternFill>
    </fill>
    <fill>
      <patternFill patternType="solid">
        <fgColor rgb="00375623"/>
        <bgColor rgb="00375623"/>
      </patternFill>
    </fill>
    <fill>
      <patternFill patternType="solid">
        <fgColor rgb="00FFF2CC"/>
        <bgColor rgb="00FFF2CC"/>
      </patternFill>
    </fill>
    <fill>
      <patternFill patternType="solid">
        <fgColor rgb="00FFFFFF"/>
        <bgColor rgb="00FFFFFF"/>
      </patternFill>
    </fill>
    <fill>
      <patternFill patternType="solid">
        <fgColor rgb="00E2EFDA"/>
        <bgColor rgb="00E2EFDA"/>
      </patternFill>
    </fill>
    <fill>
      <patternFill patternType="solid">
        <fgColor rgb="00FCE4D6"/>
        <bgColor rgb="00FCE4D6"/>
      </patternFill>
    </fill>
    <fill>
      <patternFill patternType="solid">
        <fgColor rgb="00D9E1D3"/>
        <bgColor rgb="00D9E1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0" fillId="3"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center" vertical="center" wrapText="1"/>
    </xf>
    <xf numFmtId="0" fontId="6" fillId="0" borderId="1" pivotButton="0" quotePrefix="0" xfId="0"/>
    <xf numFmtId="0" fontId="4" fillId="0" borderId="1" applyAlignment="1" pivotButton="0" quotePrefix="0" xfId="0">
      <alignment horizontal="left" vertical="top" wrapText="1"/>
    </xf>
    <xf numFmtId="0" fontId="0" fillId="5" borderId="1" pivotButton="0" quotePrefix="0" xfId="0"/>
    <xf numFmtId="0" fontId="4" fillId="0" borderId="0" pivotButton="0" quotePrefix="0" xfId="0"/>
    <xf numFmtId="0" fontId="0" fillId="6" borderId="1" pivotButton="0" quotePrefix="0" xfId="0"/>
    <xf numFmtId="0" fontId="0" fillId="7" borderId="1" pivotButton="0" quotePrefix="0" xfId="0"/>
    <xf numFmtId="0" fontId="0" fillId="8" borderId="1" pivotButton="0" quotePrefix="0" xfId="0"/>
    <xf numFmtId="0" fontId="7" fillId="8" borderId="0" applyAlignment="1" pivotButton="0" quotePrefix="0" xfId="0">
      <alignment horizontal="left" vertical="top" wrapText="1"/>
    </xf>
    <xf numFmtId="0" fontId="0" fillId="8" borderId="0" pivotButton="0" quotePrefix="0" xfId="0"/>
    <xf numFmtId="0" fontId="4" fillId="0" borderId="0" applyAlignment="1" pivotButton="0" quotePrefix="0" xfId="0">
      <alignment horizontal="left" vertical="center" wrapText="1"/>
    </xf>
    <xf numFmtId="0" fontId="8" fillId="5" borderId="1" pivotButton="0" quotePrefix="0" xfId="0"/>
    <xf numFmtId="4" fontId="8" fillId="5" borderId="1" pivotButton="0" quotePrefix="0" xfId="0"/>
    <xf numFmtId="164" fontId="8" fillId="5" borderId="1" pivotButton="0" quotePrefix="0" xfId="0"/>
    <xf numFmtId="1" fontId="8" fillId="5" borderId="1" pivotButton="0" quotePrefix="0" xfId="0"/>
    <xf numFmtId="165" fontId="8" fillId="5" borderId="1" pivotButton="0" quotePrefix="0" xfId="0"/>
    <xf numFmtId="0" fontId="4" fillId="6" borderId="1" pivotButton="0" quotePrefix="0" xfId="0"/>
    <xf numFmtId="2" fontId="8" fillId="5" borderId="1" pivotButton="0" quotePrefix="0" xfId="0"/>
    <xf numFmtId="2" fontId="4" fillId="6" borderId="1" pivotButton="0" quotePrefix="0" xfId="0"/>
    <xf numFmtId="0" fontId="9" fillId="0" borderId="1" pivotButton="0" quotePrefix="0" xfId="0"/>
    <xf numFmtId="0" fontId="9" fillId="0" borderId="1" applyAlignment="1" pivotButton="0" quotePrefix="0" xfId="0">
      <alignment horizontal="left" vertical="top" wrapText="1"/>
    </xf>
    <xf numFmtId="2" fontId="6" fillId="6" borderId="1" pivotButton="0" quotePrefix="0" xfId="0"/>
    <xf numFmtId="165" fontId="6" fillId="6" borderId="1" pivotButton="0" quotePrefix="0" xfId="0"/>
    <xf numFmtId="0" fontId="9" fillId="0" borderId="0" applyAlignment="1" pivotButton="0" quotePrefix="0" xfId="0">
      <alignment horizontal="left" vertical="top" wrapText="1"/>
    </xf>
    <xf numFmtId="0" fontId="4" fillId="0" borderId="1" pivotButton="0" quotePrefix="0" xfId="0"/>
    <xf numFmtId="2" fontId="10" fillId="0" borderId="1" pivotButton="0" quotePrefix="0" xfId="0"/>
    <xf numFmtId="0" fontId="6"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8" borderId="0" applyAlignment="1" pivotButton="0" quotePrefix="0" xfId="0">
      <alignment horizontal="left" vertical="top" wrapText="1"/>
    </xf>
    <xf numFmtId="0" fontId="11" fillId="0" borderId="0" pivotButton="0" quotePrefix="0" xfId="0"/>
    <xf numFmtId="165" fontId="10" fillId="0" borderId="1" pivotButton="0" quotePrefix="0" xfId="0"/>
    <xf numFmtId="49" fontId="10" fillId="0" borderId="1" pivotButton="0" quotePrefix="0" xfId="0"/>
    <xf numFmtId="1" fontId="4" fillId="0" borderId="1" pivotButton="0" quotePrefix="0" xfId="0"/>
    <xf numFmtId="0" fontId="5" fillId="4" borderId="0" pivotButton="0" quotePrefix="0" xfId="0"/>
    <xf numFmtId="0" fontId="6" fillId="0" borderId="0" pivotButton="0" quotePrefix="0" xfId="0"/>
    <xf numFmtId="1" fontId="6" fillId="0" borderId="1" pivotButton="0" quotePrefix="0" xfId="0"/>
    <xf numFmtId="0" fontId="9" fillId="0" borderId="0" pivotButton="0" quotePrefix="0" xfId="0"/>
    <xf numFmtId="2" fontId="4" fillId="0" borderId="1" pivotButton="0" quotePrefix="0" xfId="0"/>
    <xf numFmtId="2" fontId="6" fillId="0" borderId="1" pivotButton="0" quotePrefix="0" xfId="0"/>
    <xf numFmtId="0" fontId="6" fillId="9" borderId="0" pivotButton="0" quotePrefix="0" xfId="0"/>
    <xf numFmtId="2" fontId="6" fillId="9" borderId="1" pivotButton="0" quotePrefix="0" xfId="0"/>
    <xf numFmtId="164" fontId="6" fillId="9" borderId="1" pivotButton="0" quotePrefix="0" xfId="0"/>
    <xf numFmtId="165" fontId="4" fillId="0" borderId="1" pivotButton="0" quotePrefix="0" xfId="0"/>
    <xf numFmtId="0" fontId="6" fillId="9" borderId="1" pivotButton="0" quotePrefix="0" xfId="0"/>
    <xf numFmtId="3" fontId="6" fillId="9" borderId="1" pivotButton="0" quotePrefix="0" xfId="0"/>
    <xf numFmtId="3" fontId="4" fillId="0" borderId="1" pivotButton="0" quotePrefix="0" xfId="0"/>
    <xf numFmtId="166" fontId="4" fillId="0" borderId="1" pivotButton="0" quotePrefix="0" xfId="0"/>
    <xf numFmtId="9" fontId="9" fillId="0" borderId="1" pivotButton="0" quotePrefix="0" xfId="0"/>
    <xf numFmtId="4" fontId="10" fillId="0" borderId="1" pivotButton="0" quotePrefix="0" xfId="0"/>
    <xf numFmtId="166" fontId="6" fillId="0" borderId="1" pivotButton="0" quotePrefix="0" xfId="0"/>
    <xf numFmtId="0" fontId="10" fillId="0" borderId="1" pivotButton="0" quotePrefix="0" xfId="0"/>
    <xf numFmtId="165" fontId="6" fillId="9" borderId="1" pivotButton="0" quotePrefix="0" xfId="0"/>
    <xf numFmtId="9" fontId="4" fillId="0" borderId="1" pivotButton="0" quotePrefix="0" xfId="0"/>
    <xf numFmtId="9" fontId="8" fillId="5" borderId="1" pivotButton="0" quotePrefix="0" xfId="0"/>
    <xf numFmtId="3" fontId="8" fillId="5" borderId="1" pivotButton="0" quotePrefix="0" xfId="0"/>
    <xf numFmtId="0" fontId="0" fillId="0" borderId="1" pivotButton="0" quotePrefix="0" xfId="0"/>
    <xf numFmtId="4" fontId="4" fillId="0" borderId="1" pivotButton="0" quotePrefix="0" xfId="0"/>
    <xf numFmtId="4" fontId="6" fillId="9" borderId="1" pivotButton="0" quotePrefix="0" xfId="0"/>
    <xf numFmtId="0" fontId="4" fillId="8" borderId="0" applyAlignment="1" pivotButton="0" quotePrefix="0" xfId="0">
      <alignment horizontal="left" vertical="top" wrapText="1"/>
    </xf>
    <xf numFmtId="164" fontId="10" fillId="0" borderId="1" pivotButton="0" quotePrefix="0" xfId="0"/>
    <xf numFmtId="3" fontId="1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Necessidade de Nutrientes (kg/ha)</a:t>
            </a:r>
          </a:p>
        </rich>
      </tx>
    </title>
    <plotArea>
      <barChart>
        <barDir val="col"/>
        <grouping val="clustered"/>
        <ser>
          <idx val="0"/>
          <order val="0"/>
          <tx>
            <strRef>
              <f>'Resumo'!C22</f>
            </strRef>
          </tx>
          <spPr>
            <a:ln>
              <a:prstDash val="solid"/>
            </a:ln>
          </spPr>
          <cat>
            <numRef>
              <f>'Resumo'!$B$23:$B$31</f>
            </numRef>
          </cat>
          <val>
            <numRef>
              <f>'Resumo'!$C$23:$C$31</f>
            </numRef>
          </val>
        </ser>
        <gapWidth val="150"/>
        <axId val="10"/>
        <axId val="100"/>
      </barChart>
      <catAx>
        <axId val="10"/>
        <scaling>
          <orientation val="minMax"/>
        </scaling>
        <axPos val="l"/>
        <title>
          <tx>
            <rich>
              <a:bodyPr/>
              <a:p>
                <a:pPr>
                  <a:defRPr/>
                </a:pPr>
                <a:r>
                  <a:t>Nutriente</a:t>
                </a:r>
              </a:p>
            </rich>
          </tx>
        </title>
        <majorTickMark val="none"/>
        <minorTickMark val="none"/>
        <crossAx val="100"/>
        <lblOffset val="100"/>
      </catAx>
      <valAx>
        <axId val="100"/>
        <scaling>
          <orientation val="minMax"/>
        </scaling>
        <axPos val="l"/>
        <majorGridlines/>
        <title>
          <tx>
            <rich>
              <a:bodyPr/>
              <a:p>
                <a:pPr>
                  <a:defRPr/>
                </a:pPr>
                <a:r>
                  <a:t>kg/ha</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Radar Nutricional (classe do solo, 1=Muito baixo a 6=Muito alto)</a:t>
            </a:r>
          </a:p>
        </rich>
      </tx>
    </title>
    <plotArea>
      <radarChart>
        <radarStyle val="filled"/>
        <ser>
          <idx val="0"/>
          <order val="0"/>
          <tx>
            <strRef>
              <f>'Resumo'!E22</f>
            </strRef>
          </tx>
          <spPr>
            <a:ln>
              <a:prstDash val="solid"/>
            </a:ln>
          </spPr>
          <marker>
            <symbol val="none"/>
            <spPr>
              <a:ln>
                <a:prstDash val="solid"/>
              </a:ln>
            </spPr>
          </marker>
          <cat>
            <numRef>
              <f>'Resumo'!$B$23:$B$31</f>
            </numRef>
          </cat>
          <val>
            <numRef>
              <f>'Resumo'!$E$23:$E$31</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Fonte</author>
    <author>Referência técnica</author>
    <author>Nota</author>
  </authors>
  <commentList>
    <comment ref="C19" authorId="0" shapeId="0">
      <text>
        <t>Classe conforme faixas de argila usadas no Boletim 100 (IAC) e Manual de Calagem do Cerrado para estratificar níveis críticos de P e recomendação de gesso.</t>
      </text>
    </comment>
    <comment ref="C20" authorId="1" shapeId="0">
      <text>
        <t>Opcional. Quando informado, refina a interpretação do fósforo (Alvarez V. &amp; Fonseca, 1990).</t>
      </text>
    </comment>
    <comment ref="C42" authorId="2" shapeId="0">
      <text>
        <t>Na convertido de mg/dm³ para mmolc/dm³ dividindo por 23 (massa atômica do sódio).</t>
      </text>
    </comment>
  </commentList>
</comments>
</file>

<file path=xl/comments/comment2.xml><?xml version="1.0" encoding="utf-8"?>
<comments xmlns="http://schemas.openxmlformats.org/spreadsheetml/2006/main">
  <authors>
    <author>Confiança: Baixa</author>
  </authors>
  <commentList>
    <comment ref="E12" authorId="0" shapeId="0">
      <text>
        <t>Sem tabela de classes robusta confirmada nesta versão. Faixa indicativa de uso geral (&lt;5 baixo; 5-10 médio; &gt;10 alto), a validar com boletim regional.</t>
      </text>
    </comment>
  </commentList>
</comments>
</file>

<file path=xl/comments/comment3.xml><?xml version="1.0" encoding="utf-8"?>
<comments xmlns="http://schemas.openxmlformats.org/spreadsheetml/2006/main">
  <authors>
    <author>Insumo</author>
  </authors>
  <commentList>
    <comment ref="C12" authorId="0" shapeId="0">
      <text>
        <t>PRNT = Poder Relativo de Neutralização Total, informado no rótulo do calcário (garantia mínima legal: 60%; comum entre 70-100%).</t>
      </text>
    </comment>
  </commentList>
</comments>
</file>

<file path=xl/comments/comment4.xml><?xml version="1.0" encoding="utf-8"?>
<comments xmlns="http://schemas.openxmlformats.org/spreadsheetml/2006/main">
  <authors>
    <author>Sousa &amp; Lobato, 2004</author>
  </authors>
  <commentList>
    <comment ref="C8" authorId="0" shapeId="0">
      <text>
        <t>O critério técnico de gessagem é definido pela camada subsuperficial (20-40 cm). Se não disponível, a planilha usa a camada amostrada como aproximação (menos preciso).</t>
      </text>
    </comment>
  </commentList>
</comments>
</file>

<file path=xl/comments/comment5.xml><?xml version="1.0" encoding="utf-8"?>
<comments xmlns="http://schemas.openxmlformats.org/spreadsheetml/2006/main">
  <authors>
    <author>Premissa</author>
  </authors>
  <commentList>
    <comment ref="C28" authorId="0" shapeId="0">
      <text>
        <t>Eficiência típica de recuperação de N por gramíneas em condições de campo (perdas por volatilização de ureia, lixiviação, desnitrificação). Valor editável - Confiança Média.</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38</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55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C40"/>
  <sheetViews>
    <sheetView showGridLines="0" workbookViewId="0">
      <selection activeCell="A1" sqref="A1"/>
    </sheetView>
  </sheetViews>
  <sheetFormatPr baseColWidth="8" defaultRowHeight="15"/>
  <cols>
    <col width="3" customWidth="1" min="1" max="1"/>
    <col width="34" customWidth="1" min="2" max="2"/>
    <col width="70" customWidth="1" min="3" max="3"/>
    <col width="3" customWidth="1" min="4" max="4"/>
  </cols>
  <sheetData>
    <row r="2" ht="34" customHeight="1">
      <c r="B2" s="1" t="inlineStr">
        <is>
          <t>AE ADUBAÇÃO — Recomendação Técnica de Calagem, Gessagem e Fertilização</t>
        </is>
      </c>
    </row>
    <row r="3" ht="30" customHeight="1">
      <c r="B3" s="3" t="inlineStr">
        <is>
          <t>Sistema de apoio à decisão para correção e adubação de solos — Soja, Milho, Sorgo, Feijão, Cana-de-açúcar e Pastagens (Panicum e Brachiaria)</t>
        </is>
      </c>
    </row>
    <row r="5" ht="20" customHeight="1">
      <c r="B5" s="4" t="inlineStr">
        <is>
          <t>Como usar esta planilha</t>
        </is>
      </c>
    </row>
    <row r="6">
      <c r="B6" s="6" t="inlineStr">
        <is>
          <t>1. Preencha a aba "Dados de Entrada" — identificação da área, cultura, meta de produtividade e análise de solo completa.</t>
        </is>
      </c>
    </row>
    <row r="7">
      <c r="B7" s="6" t="inlineStr">
        <is>
          <t>2. A aba "Interpretação" classifica automaticamente cada nutriente (Muito baixo a Muito alto).</t>
        </is>
      </c>
    </row>
    <row r="8">
      <c r="B8" s="6" t="inlineStr">
        <is>
          <t>3. As abas "Calagem" e "Gessagem" calculam a correção do solo por múltiplos métodos e indicam a recomendação final.</t>
        </is>
      </c>
    </row>
    <row r="9">
      <c r="B9" s="6" t="inlineStr">
        <is>
          <t>4. As abas "Soja" e "Milho" (motor completo) ou "Outras Culturas" (Sorgo, Feijão, Cana, Panicum, Brachiaria) calculam a adubação de N, P, K, S, Ca, Mg e micronutrientes.</t>
        </is>
      </c>
    </row>
    <row r="10">
      <c r="B10" s="6" t="inlineStr">
        <is>
          <t>5. A aba "Mistura de Fertilizantes" converte a necessidade de nutrientes em produtos comerciais, dose por hectare, total da área e custo estimado.</t>
        </is>
      </c>
    </row>
    <row r="11">
      <c r="B11" s="6" t="inlineStr">
        <is>
          <t>6. A aba "Resumo" reúne o diagnóstico, o balanço de nutrientes e os gráficos para impressão/apresentação.</t>
        </is>
      </c>
    </row>
    <row r="12">
      <c r="B12" s="6" t="inlineStr">
        <is>
          <t>7. Consulte "Manual Técnico" para as fórmulas, premissas e limitações, e "Referências" para a bibliografia de cada recomendação.</t>
        </is>
      </c>
    </row>
    <row r="14" ht="20" customHeight="1">
      <c r="B14" s="4" t="inlineStr">
        <is>
          <t>Mapa das abas</t>
        </is>
      </c>
    </row>
    <row r="15">
      <c r="B15" s="7" t="inlineStr">
        <is>
          <t>Aba</t>
        </is>
      </c>
      <c r="C15" s="7" t="inlineStr">
        <is>
          <t>Conteúdo</t>
        </is>
      </c>
    </row>
    <row r="16">
      <c r="B16" s="8" t="inlineStr">
        <is>
          <t>Manual Técnico</t>
        </is>
      </c>
      <c r="C16" s="9" t="inlineStr">
        <is>
          <t>Metodologia, equações, premissas, limitações e nível de confiança de cada recomendação.</t>
        </is>
      </c>
    </row>
    <row r="17">
      <c r="B17" s="8" t="inlineStr">
        <is>
          <t>Dados de Entrada</t>
        </is>
      </c>
      <c r="C17" s="9" t="inlineStr">
        <is>
          <t>Único local de digitação de dados da área e da análise de solo. Células amarelas = editáveis.</t>
        </is>
      </c>
    </row>
    <row r="18">
      <c r="B18" s="8" t="inlineStr">
        <is>
          <t>Tabelas de Referência</t>
        </is>
      </c>
      <c r="C18" s="9" t="inlineStr">
        <is>
          <t>Classes de interpretação de fertilidade (Boletim 100/IAC, Cerrado/SBCS) — editável para atualização.</t>
        </is>
      </c>
    </row>
    <row r="19">
      <c r="B19" s="8" t="inlineStr">
        <is>
          <t>Interpretação</t>
        </is>
      </c>
      <c r="C19" s="9" t="inlineStr">
        <is>
          <t>Classificação automática de cada nutriente e diagnóstico de limitações do solo.</t>
        </is>
      </c>
    </row>
    <row r="20">
      <c r="B20" s="8" t="inlineStr">
        <is>
          <t>Calagem</t>
        </is>
      </c>
      <c r="C20" s="9" t="inlineStr">
        <is>
          <t>3 métodos de cálculo da necessidade de calcário + escolha automática e PRNT.</t>
        </is>
      </c>
    </row>
    <row r="21">
      <c r="B21" s="8" t="inlineStr">
        <is>
          <t>Gessagem</t>
        </is>
      </c>
      <c r="C21" s="9" t="inlineStr">
        <is>
          <t>Critério técnico e dose de gesso agrícola.</t>
        </is>
      </c>
    </row>
    <row r="22">
      <c r="B22" s="8" t="inlineStr">
        <is>
          <t>BD Culturas</t>
        </is>
      </c>
      <c r="C22" s="9" t="inlineStr">
        <is>
          <t>Extração, exportação, eficiência e curvas de resposta por cultura e faixa de produtividade.</t>
        </is>
      </c>
    </row>
    <row r="23">
      <c r="B23" s="8" t="inlineStr">
        <is>
          <t>Soja</t>
        </is>
      </c>
      <c r="C23" s="9" t="inlineStr">
        <is>
          <t>Motor completo de recomendação de N-P-K-S-Ca-Mg-micros para soja.</t>
        </is>
      </c>
    </row>
    <row r="24">
      <c r="B24" s="8" t="inlineStr">
        <is>
          <t>Milho</t>
        </is>
      </c>
      <c r="C24" s="9" t="inlineStr">
        <is>
          <t>Motor completo de recomendação de N-P-K-S-Ca-Mg-micros para milho.</t>
        </is>
      </c>
    </row>
    <row r="25">
      <c r="B25" s="8" t="inlineStr">
        <is>
          <t>Outras Culturas</t>
        </is>
      </c>
      <c r="C25" s="9" t="inlineStr">
        <is>
          <t>Recomendação de manutenção/reposição para Sorgo, Feijão, Cana, Panicum e Brachiaria.</t>
        </is>
      </c>
    </row>
    <row r="26">
      <c r="B26" s="8" t="inlineStr">
        <is>
          <t>BD Fertilizantes</t>
        </is>
      </c>
      <c r="C26" s="9" t="inlineStr">
        <is>
          <t>Composição garantida e preço de referência dos fertilizantes comerciais (editável).</t>
        </is>
      </c>
    </row>
    <row r="27">
      <c r="B27" s="8" t="inlineStr">
        <is>
          <t>Mistura de Fertilizantes</t>
        </is>
      </c>
      <c r="C27" s="9" t="inlineStr">
        <is>
          <t>Conversão da necessidade de nutrientes em produtos, doses e custo.</t>
        </is>
      </c>
    </row>
    <row r="28">
      <c r="B28" s="8" t="inlineStr">
        <is>
          <t>Resumo</t>
        </is>
      </c>
      <c r="C28" s="9" t="inlineStr">
        <is>
          <t>Painel de diagnóstico, balanço de nutrientes, custo total e gráficos.</t>
        </is>
      </c>
    </row>
    <row r="29">
      <c r="B29" s="8" t="inlineStr">
        <is>
          <t>Referências</t>
        </is>
      </c>
      <c r="C29" s="9" t="inlineStr">
        <is>
          <t>Bibliografia utilizada em cada metodologia.</t>
        </is>
      </c>
    </row>
    <row r="31" ht="20" customHeight="1">
      <c r="B31" s="4" t="inlineStr">
        <is>
          <t>Legenda de cores</t>
        </is>
      </c>
    </row>
    <row r="32">
      <c r="B32" s="10" t="inlineStr">
        <is>
          <t>   </t>
        </is>
      </c>
      <c r="C32" s="11" t="inlineStr">
        <is>
          <t>Célula de entrada — o usuário digita ou escolhe em lista suspensa</t>
        </is>
      </c>
    </row>
    <row r="33">
      <c r="B33" s="12" t="inlineStr">
        <is>
          <t>   </t>
        </is>
      </c>
      <c r="C33" s="11" t="inlineStr">
        <is>
          <t>Célula de fórmula (cálculo automático) — não recomendado editar</t>
        </is>
      </c>
    </row>
    <row r="34">
      <c r="B34" s="13" t="inlineStr">
        <is>
          <t>   </t>
        </is>
      </c>
      <c r="C34" s="11" t="inlineStr">
        <is>
          <t>Resultado final / recomendação</t>
        </is>
      </c>
    </row>
    <row r="35">
      <c r="B35" s="14" t="inlineStr">
        <is>
          <t>   </t>
        </is>
      </c>
      <c r="C35" s="11" t="inlineStr">
        <is>
          <t>Alerta / atenção técnica</t>
        </is>
      </c>
    </row>
    <row r="37">
      <c r="B37" s="15" t="inlineStr">
        <is>
          <t>IMPORTANTE: nenhuma célula está protegida — todas as fórmulas são abertas e auditáveis. As recomendações combinam análise de solo, textura, CTC, matéria orgânica, histórico da área, cultura, produtividade esperada, exportação de nutrientes e eficiência dos fertilizantes. Elas não substituem a responsabilidade técnica de um(a) Engenheiro(a) Agrônomo(a) para a emissão de receituário agronômico. Fase 1 desta planilha: motor completo para Soja e Milho; demais culturas em nível de manutenção/reposição (ver Manual Técnico, seção de limitações).</t>
        </is>
      </c>
    </row>
    <row r="38"/>
    <row r="39"/>
    <row r="40"/>
  </sheetData>
  <mergeCells count="13">
    <mergeCell ref="B6:C6"/>
    <mergeCell ref="B2:C2"/>
    <mergeCell ref="B37:C40"/>
    <mergeCell ref="B7:C7"/>
    <mergeCell ref="B11:C11"/>
    <mergeCell ref="B3:C3"/>
    <mergeCell ref="B5:C5"/>
    <mergeCell ref="B10:C10"/>
    <mergeCell ref="B14:C14"/>
    <mergeCell ref="B31:C31"/>
    <mergeCell ref="B9:C9"/>
    <mergeCell ref="B8:C8"/>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5" customWidth="1" min="2" max="2"/>
  </cols>
  <sheetData>
    <row r="1" ht="28" customHeight="1">
      <c r="B1" s="1" t="inlineStr">
        <is>
          <t>MANUAL TÉCNICO — Metodologia, Equações, Premissas e Limitações</t>
        </is>
      </c>
    </row>
    <row r="3" ht="20" customHeight="1">
      <c r="B3" s="4" t="inlineStr">
        <is>
          <t>1. Objetivo e Escopo (Fase 1)</t>
        </is>
      </c>
    </row>
    <row r="4" ht="105" customHeight="1">
      <c r="B4" s="6" t="inlineStr">
        <is>
          <t>Esta planilha é um sistema de apoio à decisão para calagem, gessagem e adubação de solos agrícolas brasileiros. A Fase 1 (esta versão) entrega motor de cálculo completo e integrado para Soja e Milho (N, P, K, S, Ca, Mg e micronutrientes, com ajuste por análise de solo, textura e produtividade meta), e um módulo simplificado de manutenção/reposição por exportação de nutrientes para Sorgo, Feijão, Cana-de-açúcar, Pastagem Panicum e Pastagem Brachiaria. Fases futuras podem aprofundar essas 5 culturas com o mesmo rigor de Soja/Milho, adicionar interface VBA/Solver para otimização de mistura por custo mínimo, e publicar versões em Google Sheets/Power BI.</t>
        </is>
      </c>
    </row>
    <row r="6" ht="20" customHeight="1">
      <c r="B6" s="4" t="inlineStr">
        <is>
          <t>2. Fluxo de Cálculo</t>
        </is>
      </c>
    </row>
    <row r="7" ht="75" customHeight="1">
      <c r="B7" s="6" t="inlineStr">
        <is>
          <t>Dados de Entrada (análise de solo + manejo) → conversão de unidades → Interpretação (classes de fertilidade) → Calagem (3 métodos) e Gessagem (critério técnico) → Adubação por cultura (exportação/eficiência/ajuste por classe) → Mistura de Fertilizantes (produtos, doses, custo) → Resumo (diagnóstico, balanço, gráficos). Cada etapa referencia a anterior por fórmula - alterar um dado de entrada recalcula toda a cadeia automaticamente.</t>
        </is>
      </c>
    </row>
    <row r="9" ht="20" customHeight="1">
      <c r="B9" s="4" t="inlineStr">
        <is>
          <t>3. Conversão de Unidades</t>
        </is>
      </c>
    </row>
    <row r="10" ht="75" customHeight="1">
      <c r="B10" s="6" t="inlineStr">
        <is>
          <t>K, Ca, Mg, Al: 1 mmolc/dm³ = 0,1 cmolc/dm³. Conversão para mg/dm³ usa a massa equivalente (massa atômica ÷ carga): K = 39,1; Ca = 20,0; Mg = 12,15; Al = 9,0 mg/dm³ por mmolc/dm³. H+Al: cmolc/dm³ × 10 = mmolc/dm³. Matéria Orgânica: g/kg tratado como numericamente igual a g/dm³ (convenção de densidade ≈ 1, usual em laboratórios tropicais); % × 10 = g/dm³. P, S e micronutrientes (Zn, Cu, Mn, Fe, B, Mo): mg/dm³ tratado como numericamente equivalente a ppm.</t>
        </is>
      </c>
    </row>
    <row r="12" ht="20" customHeight="1">
      <c r="B12" s="4" t="inlineStr">
        <is>
          <t>4. Índices de Fertilidade (SBCS)</t>
        </is>
      </c>
    </row>
    <row r="13" ht="60" customHeight="1">
      <c r="B13" s="6" t="inlineStr">
        <is>
          <t>SB (Soma de Bases) = K⁺ + Ca²⁺ + Mg²⁺ + Na⁺ (mmolc/dm³). CTC efetiva (t) = SB + Al³⁺. CTC a pH 7,0 (T) = SB + H+Al. V% = SB/T × 100. m% = Al³⁺/CTC efetiva × 100. Convenção padrão da Sociedade Brasileira de Ciência do Solo (SBCS), consistente com Raij et al. (Boletim 100, IAC) e Sousa &amp; Lobato (Embrapa Cerrados).</t>
        </is>
      </c>
    </row>
    <row r="15" ht="20" customHeight="1">
      <c r="B15" s="4" t="inlineStr">
        <is>
          <t>5. Calagem — 3 Métodos (todos calculados; ver aba Calagem)</t>
        </is>
      </c>
    </row>
    <row r="16" ht="60" customHeight="1">
      <c r="B16" s="6" t="inlineStr">
        <is>
          <t>(a) Método da saturação por bases: NC (t/ha) = CTC pH7 (mmolc/dm³) × (V2 - V1) / (10 × PRNT). Fonte: Raij, van B.; Cantarella, H.; Quaggio, J.A.; Furlani, A.M.C. Recomendações de Adubação e Calagem para o Estado de São Paulo. Boletim Técnico 100, 2ª ed. IAC, 1997. Confiança: Alta (fórmula confirmada).</t>
        </is>
      </c>
    </row>
    <row r="17" ht="60" customHeight="1">
      <c r="B17" s="6" t="inlineStr">
        <is>
          <t>(b) Método de neutralização do Alumínio (Kamprath): NC (t/ha) = Al³⁺ (cmolc/dm³) × 2 × (100/PRNT). Fonte: Kamprath, E.J. Exchangeable aluminum as a criterion for liming leached mineral soils. Soil Science Society of America Proceedings, v.34, 1970. Confiança: Média (fator 2 é o valor consagrado na prática brasileira; a derivação original relata variação entre 1,5 e 2,4 conforme o solo).</t>
        </is>
      </c>
    </row>
    <row r="18" ht="60" customHeight="1">
      <c r="B18" s="6" t="inlineStr">
        <is>
          <t>(c) Método da neutralização do Al³⁺ + elevação de Ca²⁺ e Mg²⁺ (Cerrado): NC (t/ha) = [Al³⁺ (cmolc/dm³) × 2 + MAX(0; 2 - (Ca+Mg) (cmolc/dm³))] × (100/PRNT). Fonte: Sousa, D.M.G.; Lobato, E. (Eds.). Cerrado: Correção do Solo e Adubação. 2ª ed. Embrapa Informação Tecnológica/Embrapa Cerrados, 2004. Confiança: Alta.</t>
        </is>
      </c>
    </row>
    <row r="19" ht="75" customHeight="1">
      <c r="B19" s="6" t="inlineStr">
        <is>
          <t>Escolha automática: estados de Cerrado típico (MT, GO, MS, TO, MA, PI, BA, DF, RO, PA) usam o método (c); demais estados usam o método (a) - convenção consolidada na literatura agronômica brasileira, não uma norma regulatória formal. O técnico responsável pode adotar outro método manualmente. V2 (saturação por bases desejada) por cultura: valores de referência amplamente replicados (Soja/Milho/Feijão 70%, Sorgo 60%, Cana 60%, Pastagens 50-55%) - Confiança Média-Alta, editável na aba Calagem.</t>
        </is>
      </c>
    </row>
    <row r="21" ht="20" customHeight="1">
      <c r="B21" s="4" t="inlineStr">
        <is>
          <t>6. Gessagem</t>
        </is>
      </c>
    </row>
    <row r="22" ht="120" customHeight="1">
      <c r="B22" s="6" t="inlineStr">
        <is>
          <t>Critério de recomendação: gesso é recomendado quando, na camada avaliada (idealmente 20-40 cm), saturação por Al (m%) &gt; 20% OU Ca²⁺ &lt; 0,5 cmolc/dm³ (5 mmolc/dm³). Dose: NG (kg/ha) = 50 × argila(%) para culturas anuais, ou 75 × argila(%) para culturas perenes/semiperenes (cana, pastagens). Fonte: Sousa, D.M.G.; Lobato, E. Uso de Gesso Agrícola nos Solos do Cerrado. Circular Técnica 32, Embrapa Cerrados. Confiança: Alta (fórmula e critério qualitativo); Média (o limiar exato de Ca subsuperficial varia entre 0,2 e 0,5 cmolc/dm³ conforme a fonte secundária consultada - adotou-se o valor mais citado). O alerta de dose &gt; 2.000 kg/ha nesta planilha é uma precaução operacional, não um teto normativo confirmado em fonte primária.</t>
        </is>
      </c>
    </row>
    <row r="24" ht="20" customHeight="1">
      <c r="B24" s="4" t="inlineStr">
        <is>
          <t>7. Modelo de Adubação (Soja e Milho) — Nunca por Tabela Fixa</t>
        </is>
      </c>
    </row>
    <row r="25" ht="135" customHeight="1">
      <c r="B25" s="6" t="inlineStr">
        <is>
          <t>Para P2O5 e K2O: Dose (kg/ha) = [Exportação pela produtividade meta (kg/t × t/ha) / Eficiência de aproveitamento do fertilizante] × Fator de ajuste pela classe de fertilidade atual do solo. A eficiência depende da textura (P: 35% arenoso, 25% médio, 15% argiloso - reflete maior fixação de P em solos argilosos; K: 55% arenoso, 65% médio, 75% argiloso - reflete maior risco de lixiviação em solos arenosos). O fator de ajuste por classe (Muito baixo 2,0 / Baixo 1,5 / Médio 1,15 / Adequado 1,0 / Alto 0,7 / Muito alto 0,4) constrói fertilidade em solos pobres e reduz a dose em solos já ricos. Confiança: Média - é um modelo transparente e editável (não uma tabela publicada específica), construído para integrar simultaneamente solo, textura, cultura e produtividade, conforme exigido no escopo deste projeto. Recomenda-se calibração local quando houver histórico de resposta agronômica na fazenda.</t>
        </is>
      </c>
    </row>
    <row r="26" ht="45" customHeight="1">
      <c r="B26" s="6" t="inlineStr">
        <is>
          <t>Nitrogênio - Soja: com inoculação correta de Bradyrhizobium, não se recomenda N mineral (Confiança Alta - doutrina consolidada da Embrapa Soja). Sem inoculação confirmada, aplica-se o mesmo modelo exportação/eficiência do milho como contingência.</t>
        </is>
      </c>
    </row>
    <row r="27" ht="45" customHeight="1">
      <c r="B27" s="6" t="inlineStr">
        <is>
          <t>Nitrogênio - Milho: Dose (kg/ha) = Exportação de N pela produtividade meta / eficiência (padrão 60%, editável) - crédito de 25 kg N/ha quando a cultura antecessora foi leguminosa bem nodulada. Confiança: Média.</t>
        </is>
      </c>
    </row>
    <row r="28" ht="45" customHeight="1">
      <c r="B28" s="6" t="inlineStr">
        <is>
          <t>Enxofre: mesmo modelo exportação/eficiência (eficiência padrão 60%, editável), com alerta para não contabilizar em duplicidade o S já suprido pelo gesso agrícola ou por fontes de N/P que contêm enxofre (ver aba Mistura de Fertilizantes, seção Balanço de Enxofre).</t>
        </is>
      </c>
    </row>
    <row r="29" ht="75" customHeight="1">
      <c r="B29" s="6" t="inlineStr">
        <is>
          <t>Micronutrientes (Zn, B, Cu, Mn, Mo): dose fixa por classe de fertilidade (ex.: Zn Baixo = 4 kg/ha, Médio = 2 kg/ha; B Baixo = 1,0 kg/ha), com doses de Zn e B confirmadas contra referência secundária do Boletim 100; doses de Cu, Mn e Mo são estimativas de uso corrente na prática agronômica (Confiança Baixa) - ajustar conforme boletim regional. Mo é usualmente aplicado via tratamento de sementes (g/ha), não a lanço - a dose aqui é expressa em kg/ha de produto puro por consistência de unidades.</t>
        </is>
      </c>
    </row>
    <row r="31" ht="20" customHeight="1">
      <c r="B31" s="4" t="inlineStr">
        <is>
          <t>8. Culturas Simplificadas (Sorgo, Feijão, Cana, Panicum, Brachiaria)</t>
        </is>
      </c>
    </row>
    <row r="32" ht="90" customHeight="1">
      <c r="B32" s="6" t="inlineStr">
        <is>
          <t>Dose (kg/ha) = Exportação pela produtividade meta / Eficiência de aproveitamento (P e K por textura; N e S com eficiência padrão de 55%, editável). Não há ajuste fino por classe de fertilidade nem curva de resposta específica nesta fase - use como estimativa inicial de manutenção. Coeficientes de exportação com Confiança Baixa-Média (estimativas de uso corrente na literatura agronômica, não integralmente verificadas contra boletim primário nesta versão) - ver fonte por cultura na aba BD Culturas.</t>
        </is>
      </c>
    </row>
    <row r="34" ht="20" customHeight="1">
      <c r="B34" s="4" t="inlineStr">
        <is>
          <t>9. Mistura de Fertilizantes — Metodologia de Seleção</t>
        </is>
      </c>
    </row>
    <row r="35" ht="135" customHeight="1">
      <c r="B35" s="6" t="inlineStr">
        <is>
          <t>A seleção de fontes usa uma heurística de regras transparentes, não um solver de otimização por programação linear: fonte de P2O5 traz enxofre (Superfosfato Simples) quando há necessidade de S, senão usa MAP (mais concentrado); fonte de K2O é K-Mag quando a classe de Mg é Baixa (co-suprimento), senão Cloreto de Potássio; fonte de N é Ureia, exceto quando ainda falta S e a fonte de P não supre (então Sulfato de Amônio); micronutrientes via FTE BR-12, dosado pelo nutriente mais limitante. Todas as regras são auditáveis nas fórmulas da aba Mistura de Fertilizantes. Uma fase futura com Solver do Excel ou VBA pode implementar otimização de custo mínimo real entre múltiplas fontes concorrentes - não incluída nesta versão por não ser possível de forma robusta apenas com fórmulas de planilha (sem macros).</t>
        </is>
      </c>
    </row>
    <row r="37" ht="20" customHeight="1">
      <c r="B37" s="4" t="inlineStr">
        <is>
          <t>10. Limitações Conhecidas do Modelo (leitura obrigatória)</t>
        </is>
      </c>
    </row>
    <row r="38" ht="90" customHeight="1">
      <c r="B38" s="6" t="inlineStr">
        <is>
          <t>• As classes de interpretação de pH, V%, saturação por Al (faixas completas) e de micronutrientes (Cu, Mn, Fe, Mo) são valores de referência consolidados na literatura agronômica brasileira, mas não foram reverificados diretamente contra o texto integral do Boletim 100 (IAC) nesta versão - uma pesquisa dedicada não conseguiu acessar o PDF original. A classificação de Fósforo usa o sistema Cerrado (Sousa &amp; Lobato), que tem faixas numéricas confirmadas; o sistema IAC estratificado por classe de argila não foi replicado por falta de confirmação da tabela original.</t>
        </is>
      </c>
    </row>
    <row r="39" ht="75" customHeight="1">
      <c r="B39" s="6" t="inlineStr">
        <is>
          <t>• Os coeficientes de exportação de nutrientes de Soja e Milho têm variação relevante relatada entre fontes consultadas (diferença de até 2x em alguns coeficientes de K), especialmente em altas produtividades (efeito de diluição, discutido por pesquisadores como Alencar Zanon em curvas de resposta a potássio, cujo coeficiente exato não foi localizado nesta versão). Os valores adotados são o conjunto mais consensual entre as fontes revisadas.</t>
        </is>
      </c>
    </row>
    <row r="40" ht="45" customHeight="1">
      <c r="B40" s="6" t="inlineStr">
        <is>
          <t>• O modelo de adubação por 'exportação/eficiência × fator de classe' é uma construção transparente e auditável desta planilha, não uma cópia de tabela oficial publicada - ele cumpre o requisito de nunca recomendar apenas por tabela fixa, mas não substitui curvas de resposta calibradas localmente.</t>
        </is>
      </c>
    </row>
    <row r="41" ht="30" customHeight="1">
      <c r="B41" s="6" t="inlineStr">
        <is>
          <t>• A gessagem idealmente usa amostra de solo da camada 20-40 cm; quando não informada, a planilha usa a camada amostrada (geralmente 0-20 cm) como aproximação, sinalizando essa limitação no resultado.</t>
        </is>
      </c>
    </row>
    <row r="42" ht="30" customHeight="1">
      <c r="B42" s="6" t="inlineStr">
        <is>
          <t>• A seleção de fertilizantes é uma heurística de regras, não um otimizador matemático de custo mínimo.</t>
        </is>
      </c>
    </row>
    <row r="43" ht="30" customHeight="1">
      <c r="B43" s="6" t="inlineStr">
        <is>
          <t>• Micronutrientes Cu, Mn e Mo têm dose de referência de confiança baixa (estimativa de uso corrente).</t>
        </is>
      </c>
    </row>
    <row r="44" ht="30" customHeight="1">
      <c r="B44" s="6" t="inlineStr">
        <is>
          <t>• Esta planilha não substitui a responsabilidade técnica de um(a) Engenheiro(a) Agrônomo(a) para emissão de receituário agronômico, nem análises de solo feitas em laboratório credenciado.</t>
        </is>
      </c>
    </row>
    <row r="46" ht="20" customHeight="1">
      <c r="B46" s="4" t="inlineStr">
        <is>
          <t>11. Auditoria e Rastreabilidade</t>
        </is>
      </c>
    </row>
    <row r="47" ht="75" customHeight="1">
      <c r="B47" s="6" t="inlineStr">
        <is>
          <t>Nenhuma célula está protegida ou oculta (exceto pequenas células auxiliares de suporte a listas, identificadas por fonte branca). Toda recomendação final pode ser rastreada até a análise de solo de origem, seguindo as fórmulas de aba em aba. Sempre que existir mais de uma metodologia aplicável (como em Calagem), todas são calculadas e exibidas lado a lado, com fonte, justificativa técnica e nível de confiança da recomendação final.</t>
        </is>
      </c>
    </row>
  </sheetData>
  <mergeCells count="12">
    <mergeCell ref="B1"/>
    <mergeCell ref="B9"/>
    <mergeCell ref="B12"/>
    <mergeCell ref="B21"/>
    <mergeCell ref="B15"/>
    <mergeCell ref="B6"/>
    <mergeCell ref="B24"/>
    <mergeCell ref="B34"/>
    <mergeCell ref="B46"/>
    <mergeCell ref="B3"/>
    <mergeCell ref="B37"/>
    <mergeCell ref="B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46"/>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16" customWidth="1" min="3" max="3"/>
    <col width="16" customWidth="1" min="4" max="4"/>
    <col width="18" customWidth="1" min="5" max="5"/>
    <col width="14" customWidth="1" min="6" max="6"/>
    <col width="40" customWidth="1" min="7" max="7"/>
  </cols>
  <sheetData>
    <row r="1" ht="28" customHeight="1">
      <c r="B1" s="1" t="inlineStr">
        <is>
          <t>DADOS DE ENTRADA — Área, Manejo e Análise de Solo</t>
        </is>
      </c>
    </row>
    <row r="3" ht="20" customHeight="1">
      <c r="B3" s="4" t="inlineStr">
        <is>
          <t>1. Identificação da Área e Manejo</t>
        </is>
      </c>
    </row>
    <row r="4">
      <c r="B4" s="17" t="inlineStr">
        <is>
          <t>Fazenda / Talhão</t>
        </is>
      </c>
      <c r="C4" s="18" t="inlineStr">
        <is>
          <t>Talhão 1</t>
        </is>
      </c>
    </row>
    <row r="5">
      <c r="B5" s="17" t="inlineStr">
        <is>
          <t>Município</t>
        </is>
      </c>
      <c r="C5" s="18" t="inlineStr">
        <is>
          <t>Rio Verde</t>
        </is>
      </c>
    </row>
    <row r="6">
      <c r="B6" s="17" t="inlineStr">
        <is>
          <t>Estado (UF)</t>
        </is>
      </c>
      <c r="C6" s="18" t="inlineStr">
        <is>
          <t>GO</t>
        </is>
      </c>
    </row>
    <row r="7">
      <c r="B7" s="17" t="inlineStr">
        <is>
          <t>Área (ha)</t>
        </is>
      </c>
      <c r="C7" s="19" t="n">
        <v>100</v>
      </c>
    </row>
    <row r="8">
      <c r="B8" s="17" t="inlineStr">
        <is>
          <t>Cultura</t>
        </is>
      </c>
      <c r="C8" s="18" t="inlineStr">
        <is>
          <t>Soja</t>
        </is>
      </c>
    </row>
    <row r="9">
      <c r="B9" s="17" t="inlineStr">
        <is>
          <t>Produtividade esperada (meta)</t>
        </is>
      </c>
      <c r="C9" s="20" t="n">
        <v>60</v>
      </c>
    </row>
    <row r="10">
      <c r="B10" s="17" t="inlineStr">
        <is>
          <t>Unidade da produtividade</t>
        </is>
      </c>
      <c r="C10" s="18" t="inlineStr">
        <is>
          <t>sc/ha (60 kg)</t>
        </is>
      </c>
    </row>
    <row r="11">
      <c r="B11" s="17" t="inlineStr">
        <is>
          <t>Sistema de produção</t>
        </is>
      </c>
      <c r="C11" s="18" t="inlineStr">
        <is>
          <t>Sequeiro</t>
        </is>
      </c>
    </row>
    <row r="12">
      <c r="B12" s="17" t="inlineStr">
        <is>
          <t>Sistema de plantio</t>
        </is>
      </c>
      <c r="C12" s="18" t="inlineStr">
        <is>
          <t>Plantio direto</t>
        </is>
      </c>
    </row>
    <row r="13">
      <c r="B13" s="17" t="inlineStr">
        <is>
          <t>Anos sob plantio direto consolidado</t>
        </is>
      </c>
      <c r="C13" s="21" t="n">
        <v>5</v>
      </c>
    </row>
    <row r="14">
      <c r="B14" s="17" t="inlineStr">
        <is>
          <t>Histórico de calagem/gessagem na área</t>
        </is>
      </c>
      <c r="C14" s="18" t="inlineStr">
        <is>
          <t>Sim, regular</t>
        </is>
      </c>
    </row>
    <row r="16" ht="20" customHeight="1">
      <c r="B16" s="4" t="inlineStr">
        <is>
          <t>2. Dados Físicos do Solo</t>
        </is>
      </c>
    </row>
    <row r="17">
      <c r="B17" s="17" t="inlineStr">
        <is>
          <t>Profundidade de amostragem (cm)</t>
        </is>
      </c>
      <c r="C17" s="18" t="inlineStr">
        <is>
          <t>0-20</t>
        </is>
      </c>
    </row>
    <row r="18">
      <c r="B18" s="17" t="inlineStr">
        <is>
          <t>Teor de argila (%)</t>
        </is>
      </c>
      <c r="C18" s="22" t="n">
        <v>35</v>
      </c>
    </row>
    <row r="19">
      <c r="B19" s="11" t="inlineStr">
        <is>
          <t>Classe textural (calculada)</t>
        </is>
      </c>
      <c r="C19" s="23">
        <f>IF(C18="","",IF(C18&lt;15,"Arenoso (&lt; 15% argila)",IF(C18&lt;=35,"Textura média (15-35% argila)","Argiloso (&gt; 35% argila)")))</f>
        <v/>
      </c>
    </row>
    <row r="20">
      <c r="B20" s="17" t="inlineStr">
        <is>
          <t>P-remanescente (mg/L)</t>
        </is>
      </c>
      <c r="C20" s="18" t="inlineStr"/>
    </row>
    <row r="22" ht="20" customHeight="1">
      <c r="B22" s="4" t="inlineStr">
        <is>
          <t>3. Análise Química do Solo — insira o valor, escolha a unidade do laudo</t>
        </is>
      </c>
    </row>
    <row r="23">
      <c r="B23" s="7" t="inlineStr">
        <is>
          <t>Determinação</t>
        </is>
      </c>
      <c r="C23" s="7" t="inlineStr">
        <is>
          <t>Valor do laudo</t>
        </is>
      </c>
      <c r="D23" s="7" t="inlineStr">
        <is>
          <t>Unidade do laudo</t>
        </is>
      </c>
      <c r="E23" s="7" t="inlineStr">
        <is>
          <t>Valor padronizado</t>
        </is>
      </c>
      <c r="F23" s="7" t="inlineStr">
        <is>
          <t>Unidade padrão</t>
        </is>
      </c>
      <c r="G23" s="7" t="inlineStr">
        <is>
          <t>Observação</t>
        </is>
      </c>
    </row>
    <row r="24">
      <c r="B24" s="8" t="inlineStr">
        <is>
          <t>pH (CaCl₂ 0,01 mol/L)</t>
        </is>
      </c>
      <c r="C24" s="24" t="n">
        <v>5.2</v>
      </c>
      <c r="D24" s="18" t="inlineStr">
        <is>
          <t>-</t>
        </is>
      </c>
      <c r="E24" s="25">
        <f>IF(C24="","",C24)</f>
        <v/>
      </c>
      <c r="F24" s="26" t="inlineStr">
        <is>
          <t>-</t>
        </is>
      </c>
      <c r="G24" s="27" t="inlineStr">
        <is>
          <t>Se sua análise for em água, subtraia cerca de 0,5 a 0,7 unidade para equivaler ao CaCl₂ (Raij et al., Boletim 100).</t>
        </is>
      </c>
    </row>
    <row r="25">
      <c r="B25" s="8" t="inlineStr">
        <is>
          <t>Matéria Orgânica</t>
        </is>
      </c>
      <c r="C25" s="24" t="n">
        <v>28</v>
      </c>
      <c r="D25" s="18" t="inlineStr">
        <is>
          <t>g/dm³</t>
        </is>
      </c>
      <c r="E25" s="25">
        <f>IF(C25="","",IF(D25="g/dm³",C25,IF(D25="g/kg",C25,C25*10)))</f>
        <v/>
      </c>
      <c r="F25" s="26" t="inlineStr">
        <is>
          <t>g/dm³</t>
        </is>
      </c>
      <c r="G25" s="27" t="inlineStr">
        <is>
          <t>Conversão % → g/dm³ e g/kg → g/dm³ assume densidade do solo ≈ 1 (convenção usual de laboratórios tropicais).</t>
        </is>
      </c>
    </row>
    <row r="26">
      <c r="B26" s="8" t="inlineStr">
        <is>
          <t>Fósforo (P)</t>
        </is>
      </c>
      <c r="C26" s="24" t="n">
        <v>12</v>
      </c>
      <c r="D26" s="18" t="inlineStr">
        <is>
          <t>mg/dm³</t>
        </is>
      </c>
      <c r="E26" s="25">
        <f>IF(C26="","",C26)</f>
        <v/>
      </c>
      <c r="F26" s="18" t="inlineStr">
        <is>
          <t>Resina</t>
        </is>
      </c>
      <c r="G26" s="27" t="inlineStr">
        <is>
          <t>Informe o extrator ao lado (afeta a tabela de interpretação).</t>
        </is>
      </c>
    </row>
    <row r="27">
      <c r="B27" s="8" t="inlineStr">
        <is>
          <t>Potássio (K)</t>
        </is>
      </c>
      <c r="C27" s="24" t="n">
        <v>2.5</v>
      </c>
      <c r="D27" s="18" t="inlineStr">
        <is>
          <t>mmolc/dm³</t>
        </is>
      </c>
      <c r="E27" s="25">
        <f>IF(C27="","",IF(D27="mmolc/dm³",C27,IF(D27="cmolc/dm³",C27*10,IF(D27="mg/dm³",C27/39.1,C27))))</f>
        <v/>
      </c>
      <c r="F27" s="26" t="inlineStr">
        <is>
          <t>mmolc/dm³</t>
        </is>
      </c>
      <c r="G27" s="27" t="inlineStr">
        <is>
          <t>1 mmolc/dm³ K⁺ = 39,1 mg/dm³ (massa atômica 39,1 g/mol, carga 1).</t>
        </is>
      </c>
    </row>
    <row r="28">
      <c r="B28" s="8" t="inlineStr">
        <is>
          <t>Cálcio (Ca²⁺)</t>
        </is>
      </c>
      <c r="C28" s="24" t="n">
        <v>25</v>
      </c>
      <c r="D28" s="18" t="inlineStr">
        <is>
          <t>mmolc/dm³</t>
        </is>
      </c>
      <c r="E28" s="25">
        <f>IF(C28="","",IF(D28="mmolc/dm³",C28,IF(D28="cmolc/dm³",C28*10,IF(D28="mg/dm³",C28/20,C28))))</f>
        <v/>
      </c>
      <c r="F28" s="26" t="inlineStr">
        <is>
          <t>mmolc/dm³</t>
        </is>
      </c>
      <c r="G28" s="27" t="inlineStr">
        <is>
          <t>1 mmolc/dm³ Ca²⁺ = 20 mg/dm³ (massa atômica 40 g/mol ÷ carga 2).</t>
        </is>
      </c>
    </row>
    <row r="29">
      <c r="B29" s="8" t="inlineStr">
        <is>
          <t>Magnésio (Mg²⁺)</t>
        </is>
      </c>
      <c r="C29" s="24" t="n">
        <v>10</v>
      </c>
      <c r="D29" s="18" t="inlineStr">
        <is>
          <t>mmolc/dm³</t>
        </is>
      </c>
      <c r="E29" s="25">
        <f>IF(C29="","",IF(D29="mmolc/dm³",C29,IF(D29="cmolc/dm³",C29*10,IF(D29="mg/dm³",C29/12.15,C29))))</f>
        <v/>
      </c>
      <c r="F29" s="26" t="inlineStr">
        <is>
          <t>mmolc/dm³</t>
        </is>
      </c>
      <c r="G29" s="27" t="inlineStr">
        <is>
          <t>1 mmolc/dm³ Mg²⁺ = 12,15 mg/dm³ (massa atômica 24,3 g/mol ÷ carga 2).</t>
        </is>
      </c>
    </row>
    <row r="30">
      <c r="B30" s="8" t="inlineStr">
        <is>
          <t>Alumínio (Al³⁺)</t>
        </is>
      </c>
      <c r="C30" s="24" t="n">
        <v>2</v>
      </c>
      <c r="D30" s="18" t="inlineStr">
        <is>
          <t>mmolc/dm³</t>
        </is>
      </c>
      <c r="E30" s="25">
        <f>IF(C30="","",IF(D30="mmolc/dm³",C30,IF(D30="cmolc/dm³",C30*10,IF(D30="mg/dm³",C30/9,C30))))</f>
        <v/>
      </c>
      <c r="F30" s="26" t="inlineStr">
        <is>
          <t>mmolc/dm³</t>
        </is>
      </c>
      <c r="G30" s="27" t="inlineStr">
        <is>
          <t>1 mmolc/dm³ Al³⁺ = 9 mg/dm³ (massa atômica 27 g/mol ÷ carga 3).</t>
        </is>
      </c>
    </row>
    <row r="31">
      <c r="B31" s="8" t="inlineStr">
        <is>
          <t>Acidez potencial (H+Al)</t>
        </is>
      </c>
      <c r="C31" s="24" t="n">
        <v>35</v>
      </c>
      <c r="D31" s="18" t="inlineStr">
        <is>
          <t>mmolc/dm³</t>
        </is>
      </c>
      <c r="E31" s="25">
        <f>IF(C31="","",IF(D31="cmolc/dm³",C31*10,C31))</f>
        <v/>
      </c>
      <c r="F31" s="26" t="inlineStr">
        <is>
          <t>mmolc/dm³</t>
        </is>
      </c>
      <c r="G31" s="27" t="inlineStr">
        <is>
          <t>Obtida por SMP ou solução tampão (Ca-acetato pH 7,0).</t>
        </is>
      </c>
    </row>
    <row r="32">
      <c r="B32" s="8" t="inlineStr">
        <is>
          <t>Enxofre (S-SO₄²⁻)</t>
        </is>
      </c>
      <c r="C32" s="24" t="n">
        <v>8</v>
      </c>
      <c r="D32" s="18" t="inlineStr">
        <is>
          <t>mg/dm³</t>
        </is>
      </c>
      <c r="E32" s="25">
        <f>IF(C32="","",C32)</f>
        <v/>
      </c>
      <c r="F32" s="26" t="inlineStr">
        <is>
          <t>mg/dm³</t>
        </is>
      </c>
      <c r="G32" s="27" t="inlineStr">
        <is>
          <t>Extrator fosfato de cálcio 0,01 mol/L (Ca(H2PO4)2).</t>
        </is>
      </c>
    </row>
    <row r="33">
      <c r="B33" s="8" t="inlineStr">
        <is>
          <t>Boro (B)</t>
        </is>
      </c>
      <c r="C33" s="24" t="n">
        <v>0.25</v>
      </c>
      <c r="D33" s="18" t="inlineStr">
        <is>
          <t>mg/dm³</t>
        </is>
      </c>
      <c r="E33" s="25">
        <f>IF(C33="","",C33)</f>
        <v/>
      </c>
      <c r="F33" s="26" t="inlineStr">
        <is>
          <t>mg/dm³</t>
        </is>
      </c>
      <c r="G33" s="27" t="inlineStr">
        <is>
          <t>Água quente.</t>
        </is>
      </c>
    </row>
    <row r="34">
      <c r="B34" s="8" t="inlineStr">
        <is>
          <t>Cobre (Cu)</t>
        </is>
      </c>
      <c r="C34" s="24" t="n">
        <v>1.5</v>
      </c>
      <c r="D34" s="18" t="inlineStr">
        <is>
          <t>mg/dm³</t>
        </is>
      </c>
      <c r="E34" s="25">
        <f>IF(C34="","",C34)</f>
        <v/>
      </c>
      <c r="F34" s="26" t="inlineStr">
        <is>
          <t>mg/dm³</t>
        </is>
      </c>
      <c r="G34" s="27" t="inlineStr">
        <is>
          <t>DTPA ou Mehlich-1.</t>
        </is>
      </c>
    </row>
    <row r="35">
      <c r="B35" s="8" t="inlineStr">
        <is>
          <t>Ferro (Fe)</t>
        </is>
      </c>
      <c r="C35" s="24" t="n">
        <v>25</v>
      </c>
      <c r="D35" s="18" t="inlineStr">
        <is>
          <t>mg/dm³</t>
        </is>
      </c>
      <c r="E35" s="25">
        <f>IF(C35="","",C35)</f>
        <v/>
      </c>
      <c r="F35" s="26" t="inlineStr">
        <is>
          <t>mg/dm³</t>
        </is>
      </c>
      <c r="G35" s="27" t="inlineStr">
        <is>
          <t>DTPA ou Mehlich-1.</t>
        </is>
      </c>
    </row>
    <row r="36">
      <c r="B36" s="8" t="inlineStr">
        <is>
          <t>Manganês (Mn)</t>
        </is>
      </c>
      <c r="C36" s="24" t="n">
        <v>8</v>
      </c>
      <c r="D36" s="18" t="inlineStr">
        <is>
          <t>mg/dm³</t>
        </is>
      </c>
      <c r="E36" s="25">
        <f>IF(C36="","",C36)</f>
        <v/>
      </c>
      <c r="F36" s="26" t="inlineStr">
        <is>
          <t>mg/dm³</t>
        </is>
      </c>
      <c r="G36" s="27" t="inlineStr">
        <is>
          <t>DTPA ou Mehlich-1.</t>
        </is>
      </c>
    </row>
    <row r="37">
      <c r="B37" s="8" t="inlineStr">
        <is>
          <t>Zinco (Zn)</t>
        </is>
      </c>
      <c r="C37" s="24" t="n">
        <v>1</v>
      </c>
      <c r="D37" s="18" t="inlineStr">
        <is>
          <t>mg/dm³</t>
        </is>
      </c>
      <c r="E37" s="25">
        <f>IF(C37="","",C37)</f>
        <v/>
      </c>
      <c r="F37" s="26" t="inlineStr">
        <is>
          <t>mg/dm³</t>
        </is>
      </c>
      <c r="G37" s="27" t="inlineStr">
        <is>
          <t>DTPA ou Mehlich-1.</t>
        </is>
      </c>
    </row>
    <row r="38">
      <c r="B38" s="8" t="inlineStr">
        <is>
          <t>Molibdênio (Mo)</t>
        </is>
      </c>
      <c r="C38" s="24" t="n">
        <v>0.1</v>
      </c>
      <c r="D38" s="18" t="inlineStr">
        <is>
          <t>mg/dm³</t>
        </is>
      </c>
      <c r="E38" s="25">
        <f>IF(C38="","",C38)</f>
        <v/>
      </c>
      <c r="F38" s="26" t="inlineStr">
        <is>
          <t>mg/dm³</t>
        </is>
      </c>
      <c r="G38" s="27" t="inlineStr">
        <is>
          <t>Extração por oxalato de amônio (pouco realizado rotineiramente).</t>
        </is>
      </c>
    </row>
    <row r="39">
      <c r="B39" s="8" t="inlineStr">
        <is>
          <t>Sódio (Na)</t>
        </is>
      </c>
      <c r="C39" s="24" t="n">
        <v>5</v>
      </c>
      <c r="D39" s="18" t="inlineStr">
        <is>
          <t>mg/dm³</t>
        </is>
      </c>
      <c r="E39" s="25">
        <f>IF(C39="","",C39)</f>
        <v/>
      </c>
      <c r="F39" s="26" t="inlineStr">
        <is>
          <t>mg/dm³</t>
        </is>
      </c>
      <c r="G39" s="27" t="inlineStr">
        <is>
          <t>Relevante em áreas irrigadas / risco de sodicidade.</t>
        </is>
      </c>
    </row>
    <row r="41" ht="20" customHeight="1">
      <c r="B41" s="4" t="inlineStr">
        <is>
          <t>4. Índices Calculados (SBCS) — não editar, calculados a partir da análise acima</t>
        </is>
      </c>
    </row>
    <row r="42">
      <c r="B42" s="11" t="inlineStr">
        <is>
          <t>Soma de Bases (SB = K+Ca+Mg+Na), mmolc/dm³</t>
        </is>
      </c>
      <c r="C42" s="28">
        <f>E27+E28+E29+E39/23</f>
        <v/>
      </c>
    </row>
    <row r="43">
      <c r="B43" s="11" t="inlineStr">
        <is>
          <t>CTC efetiva (t = SB + Al), mmolc/dm³</t>
        </is>
      </c>
      <c r="C43" s="28">
        <f>C42+E30</f>
        <v/>
      </c>
    </row>
    <row r="44">
      <c r="B44" s="11" t="inlineStr">
        <is>
          <t>CTC a pH 7,0 (T = SB + H+Al), mmolc/dm³</t>
        </is>
      </c>
      <c r="C44" s="28">
        <f>C42+E31</f>
        <v/>
      </c>
    </row>
    <row r="45">
      <c r="B45" s="11" t="inlineStr">
        <is>
          <t>Saturação por Bases (V%)</t>
        </is>
      </c>
      <c r="C45" s="29">
        <f>IF(C44=0,0,C42/C44*100)</f>
        <v/>
      </c>
    </row>
    <row r="46">
      <c r="B46" s="11" t="inlineStr">
        <is>
          <t>Saturação por Alumínio (m%)</t>
        </is>
      </c>
      <c r="C46" s="29">
        <f>IF(C43=0,0,E30/C43*100)</f>
        <v/>
      </c>
    </row>
  </sheetData>
  <mergeCells count="5">
    <mergeCell ref="B3:G3"/>
    <mergeCell ref="B16:G16"/>
    <mergeCell ref="B22:G22"/>
    <mergeCell ref="B41:G41"/>
    <mergeCell ref="B1:G1"/>
  </mergeCells>
  <dataValidations count="34">
    <dataValidation sqref="C6" showDropDown="0" showInputMessage="0" showErrorMessage="0" allowBlank="1" promptTitle="Selecione" prompt="Selecione a UF" type="list">
      <formula1>"AC,AL,AP,AM,BA,CE,DF,ES,GO,MA,MT,MS,MG,PA,PB,PR,PE,PI,RJ,RN,RS,RO,RR,SC,SP,SE,TO"</formula1>
    </dataValidation>
    <dataValidation sqref="C8" showDropDown="0" showInputMessage="0" showErrorMessage="0" allowBlank="1" promptTitle="Selecione" prompt="Selecione a cultura" type="list">
      <formula1>"Soja,Milho,Sorgo,Feijão,Cana-de-açúcar,Pastagem Panicum,Pastagem Brachiaria"</formula1>
    </dataValidation>
    <dataValidation sqref="C10" showDropDown="0" showInputMessage="0" showErrorMessage="0" allowBlank="1" promptTitle="Selecione" prompt="sc/ha para grãos; t/ha para cana; t MS/ha para pastagem" type="list">
      <formula1>"sc/ha (60 kg),t/ha,t MS/ha (pastagem)"</formula1>
    </dataValidation>
    <dataValidation sqref="C11" showDropDown="0" showInputMessage="0" showErrorMessage="0" allowBlank="1" type="list">
      <formula1>"Sequeiro,Irrigado"</formula1>
    </dataValidation>
    <dataValidation sqref="C12" showDropDown="0" showInputMessage="0" showErrorMessage="0" allowBlank="1" type="list">
      <formula1>"Plantio direto,Convencional,Integração Lavoura-Pecuária"</formula1>
    </dataValidation>
    <dataValidation sqref="C14" showDropDown="0" showInputMessage="0" showErrorMessage="0" allowBlank="1" promptTitle="Selecione" prompt="Áreas nunca corrigidas priorizam construção de fertilidade" type="list">
      <formula1>"Sim, regular,Sim, irregular/antiga,Nunca corrigida"</formula1>
    </dataValidation>
    <dataValidation sqref="D25" showDropDown="0" showInputMessage="0" showErrorMessage="0" allowBlank="1" type="list">
      <formula1>"g/dm³,%,g/kg"</formula1>
    </dataValidation>
    <dataValidation sqref="F26" showDropDown="0" showInputMessage="0" showErrorMessage="0" allowBlank="1" promptTitle="Selecione" prompt="Extrator usado no laboratório" type="list">
      <formula1>"Resina,Mehlich-1"</formula1>
    </dataValidation>
    <dataValidation sqref="D27" showDropDown="0" showInputMessage="0" showErrorMessage="0" allowBlank="1" type="list">
      <formula1>"mmolc/dm³,cmolc/dm³,mg/dm³"</formula1>
    </dataValidation>
    <dataValidation sqref="D28" showDropDown="0" showInputMessage="0" showErrorMessage="0" allowBlank="1" type="list">
      <formula1>"mmolc/dm³,cmolc/dm³,mg/dm³"</formula1>
    </dataValidation>
    <dataValidation sqref="D29" showDropDown="0" showInputMessage="0" showErrorMessage="0" allowBlank="1" type="list">
      <formula1>"mmolc/dm³,cmolc/dm³,mg/dm³"</formula1>
    </dataValidation>
    <dataValidation sqref="D30" showDropDown="0" showInputMessage="0" showErrorMessage="0" allowBlank="1" type="list">
      <formula1>"mmolc/dm³,cmolc/dm³,mg/dm³"</formula1>
    </dataValidation>
    <dataValidation sqref="D31" showDropDown="0" showInputMessage="0" showErrorMessage="0" allowBlank="1" type="list">
      <formula1>"mmolc/dm³,cmolc/dm³"</formula1>
    </dataValidation>
    <dataValidation sqref="C7" showDropDown="0" showInputMessage="0" showErrorMessage="1" allowBlank="1" errorTitle="Valor impossível" error="A área deve ser maior que zero." type="decimal" operator="greaterThanOrEqual">
      <formula1>0.01</formula1>
    </dataValidation>
    <dataValidation sqref="C9" showDropDown="0" showInputMessage="0" showErrorMessage="1" allowBlank="1" errorTitle="Valor impossível" error="A produtividade esperada deve ser maior que zero." type="decimal" operator="greaterThanOrEqual">
      <formula1>0.01</formula1>
    </dataValidation>
    <dataValidation sqref="C18" showDropDown="0" showInputMessage="0" showErrorMessage="1" allowBlank="1" errorTitle="Valor fora da faixa possível" error="Teor de argila deve estar entre 0 e 100%." promptTitle="Faixa válida" prompt="Teor de argila deve estar entre 0 e 100%." type="decimal" operator="between">
      <formula1>0</formula1>
      <formula2>100</formula2>
    </dataValidation>
    <dataValidation sqref="C20" showDropDown="0" showInputMessage="0" showErrorMessage="1" allowBlank="1" errorTitle="Valor fora da faixa possível" error="P-remanescente deve estar entre 0 e 100 mg/L." promptTitle="Faixa válida" prompt="P-remanescente deve estar entre 0 e 100 mg/L." type="decimal" operator="between">
      <formula1>0</formula1>
      <formula2>100</formula2>
    </dataValidation>
    <dataValidation sqref="C13" showDropDown="0" showInputMessage="0" showErrorMessage="1" allowBlank="1" errorTitle="Valor fora da faixa possível" error="Anos de plantio direto deve ser um valor plausível (0-100)." promptTitle="Faixa válida" prompt="Anos de plantio direto deve ser um valor plausível (0-100)." type="decimal" operator="between">
      <formula1>0</formula1>
      <formula2>100</formula2>
    </dataValidation>
    <dataValidation sqref="C24" showDropDown="0" showInputMessage="0" showErrorMessage="1" allowBlank="1" errorTitle="Valor fora da faixa possível" error="pH deve estar entre 0 e 14." promptTitle="Faixa válida" prompt="pH deve estar entre 0 e 14." type="decimal" operator="between">
      <formula1>0</formula1>
      <formula2>14</formula2>
    </dataValidation>
    <dataValidation sqref="C25" showDropDown="0" showInputMessage="0" showErrorMessage="1" allowBlank="1" errorTitle="Valor impossível" error="Valores de análise química não podem ser negativos." type="decimal" operator="greaterThanOrEqual">
      <formula1>0</formula1>
    </dataValidation>
    <dataValidation sqref="C26" showDropDown="0" showInputMessage="0" showErrorMessage="1" allowBlank="1" errorTitle="Valor impossível" error="Valores de análise química não podem ser negativos." type="decimal" operator="greaterThanOrEqual">
      <formula1>0</formula1>
    </dataValidation>
    <dataValidation sqref="C27" showDropDown="0" showInputMessage="0" showErrorMessage="1" allowBlank="1" errorTitle="Valor impossível" error="Valores de análise química não podem ser negativos." type="decimal" operator="greaterThanOrEqual">
      <formula1>0</formula1>
    </dataValidation>
    <dataValidation sqref="C28" showDropDown="0" showInputMessage="0" showErrorMessage="1" allowBlank="1" errorTitle="Valor impossível" error="Valores de análise química não podem ser negativos." type="decimal" operator="greaterThanOrEqual">
      <formula1>0</formula1>
    </dataValidation>
    <dataValidation sqref="C29" showDropDown="0" showInputMessage="0" showErrorMessage="1" allowBlank="1" errorTitle="Valor impossível" error="Valores de análise química não podem ser negativos." type="decimal" operator="greaterThanOrEqual">
      <formula1>0</formula1>
    </dataValidation>
    <dataValidation sqref="C30" showDropDown="0" showInputMessage="0" showErrorMessage="1" allowBlank="1" errorTitle="Valor impossível" error="Valores de análise química não podem ser negativos." type="decimal" operator="greaterThanOrEqual">
      <formula1>0</formula1>
    </dataValidation>
    <dataValidation sqref="C31" showDropDown="0" showInputMessage="0" showErrorMessage="1" allowBlank="1" errorTitle="Valor impossível" error="Valores de análise química não podem ser negativos." type="decimal" operator="greaterThanOrEqual">
      <formula1>0</formula1>
    </dataValidation>
    <dataValidation sqref="C32" showDropDown="0" showInputMessage="0" showErrorMessage="1" allowBlank="1" errorTitle="Valor impossível" error="Valores de análise química não podem ser negativos." type="decimal" operator="greaterThanOrEqual">
      <formula1>0</formula1>
    </dataValidation>
    <dataValidation sqref="C33" showDropDown="0" showInputMessage="0" showErrorMessage="1" allowBlank="1" errorTitle="Valor impossível" error="Valores de análise química não podem ser negativos." type="decimal" operator="greaterThanOrEqual">
      <formula1>0</formula1>
    </dataValidation>
    <dataValidation sqref="C34" showDropDown="0" showInputMessage="0" showErrorMessage="1" allowBlank="1" errorTitle="Valor impossível" error="Valores de análise química não podem ser negativos." type="decimal" operator="greaterThanOrEqual">
      <formula1>0</formula1>
    </dataValidation>
    <dataValidation sqref="C35" showDropDown="0" showInputMessage="0" showErrorMessage="1" allowBlank="1" errorTitle="Valor impossível" error="Valores de análise química não podem ser negativos." type="decimal" operator="greaterThanOrEqual">
      <formula1>0</formula1>
    </dataValidation>
    <dataValidation sqref="C36" showDropDown="0" showInputMessage="0" showErrorMessage="1" allowBlank="1" errorTitle="Valor impossível" error="Valores de análise química não podem ser negativos." type="decimal" operator="greaterThanOrEqual">
      <formula1>0</formula1>
    </dataValidation>
    <dataValidation sqref="C37" showDropDown="0" showInputMessage="0" showErrorMessage="1" allowBlank="1" errorTitle="Valor impossível" error="Valores de análise química não podem ser negativos." type="decimal" operator="greaterThanOrEqual">
      <formula1>0</formula1>
    </dataValidation>
    <dataValidation sqref="C38" showDropDown="0" showInputMessage="0" showErrorMessage="1" allowBlank="1" errorTitle="Valor impossível" error="Valores de análise química não podem ser negativos." type="decimal" operator="greaterThanOrEqual">
      <formula1>0</formula1>
    </dataValidation>
    <dataValidation sqref="C39" showDropDown="0" showInputMessage="0" showErrorMessage="1" allowBlank="1" errorTitle="Valor impossível" error="Valores de análise química não podem ser negativos."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E10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6" customWidth="1" min="2" max="2"/>
    <col width="16" customWidth="1" min="3" max="3"/>
    <col width="3" customWidth="1" min="4" max="4"/>
    <col width="55" customWidth="1" min="5" max="5"/>
  </cols>
  <sheetData>
    <row r="1" ht="28" customHeight="1">
      <c r="B1" s="1" t="inlineStr">
        <is>
          <t>TABELAS DE REFERÊNCIA — Classes de Interpretação de Fertilidade (editável)</t>
        </is>
      </c>
    </row>
    <row r="3" ht="30" customHeight="1">
      <c r="B3" s="30" t="inlineStr">
        <is>
          <t>Estas tabelas alimentam a aba "Interpretação" por busca aproximada (limite inferior de cada classe). Podem ser editadas para refletir um boletim regional mais atualizado — a planilha recalcula automaticamente. Fonte e nível de confiança de cada bloco estão registrados ao lado.</t>
        </is>
      </c>
    </row>
    <row r="5" ht="18" customHeight="1">
      <c r="B5" s="4" t="inlineStr">
        <is>
          <t>Fósforo (mg/dm³) — Sistema Cerrado, Sequeiro</t>
        </is>
      </c>
      <c r="E5" s="30" t="inlineStr">
        <is>
          <t>Fonte: Sousa, D.M.G.; Lobato, E. Cerrado: Correção do Solo e Adubação. Embrapa Cerrados, 2004.  |  Confiança: Alta</t>
        </is>
      </c>
    </row>
    <row r="6">
      <c r="B6" s="7" t="inlineStr">
        <is>
          <t>Limite inferior</t>
        </is>
      </c>
      <c r="C6" s="7" t="inlineStr">
        <is>
          <t>Classe</t>
        </is>
      </c>
    </row>
    <row r="7">
      <c r="B7" s="31" t="n">
        <v>0</v>
      </c>
      <c r="C7" s="31" t="inlineStr">
        <is>
          <t>Muito baixo</t>
        </is>
      </c>
    </row>
    <row r="8">
      <c r="B8" s="31" t="n">
        <v>5</v>
      </c>
      <c r="C8" s="31" t="inlineStr">
        <is>
          <t>Baixo</t>
        </is>
      </c>
    </row>
    <row r="9">
      <c r="B9" s="31" t="n">
        <v>8</v>
      </c>
      <c r="C9" s="31" t="inlineStr">
        <is>
          <t>Médio</t>
        </is>
      </c>
    </row>
    <row r="10">
      <c r="B10" s="31" t="n">
        <v>14</v>
      </c>
      <c r="C10" s="31" t="inlineStr">
        <is>
          <t>Adequado</t>
        </is>
      </c>
    </row>
    <row r="11">
      <c r="B11" s="31" t="n">
        <v>20</v>
      </c>
      <c r="C11" s="31" t="inlineStr">
        <is>
          <t>Alto</t>
        </is>
      </c>
    </row>
    <row r="13" ht="18" customHeight="1">
      <c r="B13" s="4" t="inlineStr">
        <is>
          <t>Fósforo (mg/dm³) — Sistema Cerrado, Irrigado</t>
        </is>
      </c>
      <c r="E13" s="30" t="inlineStr">
        <is>
          <t>Fonte: Sousa, D.M.G.; Lobato, E. Cerrado: Correção do Solo e Adubação. Embrapa Cerrados, 2004.  |  Confiança: Alta</t>
        </is>
      </c>
    </row>
    <row r="14">
      <c r="B14" s="7" t="inlineStr">
        <is>
          <t>Limite inferior</t>
        </is>
      </c>
      <c r="C14" s="7" t="inlineStr">
        <is>
          <t>Classe</t>
        </is>
      </c>
    </row>
    <row r="15">
      <c r="B15" s="31" t="n">
        <v>0</v>
      </c>
      <c r="C15" s="31" t="inlineStr">
        <is>
          <t>Muito baixo</t>
        </is>
      </c>
    </row>
    <row r="16">
      <c r="B16" s="31" t="n">
        <v>8</v>
      </c>
      <c r="C16" s="31" t="inlineStr">
        <is>
          <t>Baixo</t>
        </is>
      </c>
    </row>
    <row r="17">
      <c r="B17" s="31" t="n">
        <v>14</v>
      </c>
      <c r="C17" s="31" t="inlineStr">
        <is>
          <t>Médio</t>
        </is>
      </c>
    </row>
    <row r="18">
      <c r="B18" s="31" t="n">
        <v>20</v>
      </c>
      <c r="C18" s="31" t="inlineStr">
        <is>
          <t>Adequado</t>
        </is>
      </c>
    </row>
    <row r="19">
      <c r="B19" s="31" t="n">
        <v>35</v>
      </c>
      <c r="C19" s="31" t="inlineStr">
        <is>
          <t>Alto</t>
        </is>
      </c>
    </row>
    <row r="21" ht="18" customHeight="1">
      <c r="B21" s="4" t="inlineStr">
        <is>
          <t>Potássio trocável (mmolc/dm³)</t>
        </is>
      </c>
      <c r="E21" s="30" t="inlineStr">
        <is>
          <t>Fonte: Raij et al., Boletim Técnico 100, IAC.  |  Confiança: Alta (faixas) / Média (sem estratificação por CTC do original)</t>
        </is>
      </c>
    </row>
    <row r="22">
      <c r="B22" s="7" t="inlineStr">
        <is>
          <t>Limite inferior</t>
        </is>
      </c>
      <c r="C22" s="7" t="inlineStr">
        <is>
          <t>Classe</t>
        </is>
      </c>
    </row>
    <row r="23">
      <c r="B23" s="31" t="n">
        <v>0</v>
      </c>
      <c r="C23" s="31" t="inlineStr">
        <is>
          <t>Muito baixo</t>
        </is>
      </c>
    </row>
    <row r="24">
      <c r="B24" s="31" t="n">
        <v>0.7</v>
      </c>
      <c r="C24" s="31" t="inlineStr">
        <is>
          <t>Baixo</t>
        </is>
      </c>
    </row>
    <row r="25">
      <c r="B25" s="31" t="n">
        <v>1.5</v>
      </c>
      <c r="C25" s="31" t="inlineStr">
        <is>
          <t>Médio</t>
        </is>
      </c>
    </row>
    <row r="26">
      <c r="B26" s="31" t="n">
        <v>3</v>
      </c>
      <c r="C26" s="31" t="inlineStr">
        <is>
          <t>Alto</t>
        </is>
      </c>
    </row>
    <row r="27">
      <c r="B27" s="31" t="n">
        <v>6</v>
      </c>
      <c r="C27" s="31" t="inlineStr">
        <is>
          <t>Muito alto</t>
        </is>
      </c>
    </row>
    <row r="29" ht="18" customHeight="1">
      <c r="B29" s="4" t="inlineStr">
        <is>
          <t>Matéria Orgânica (g/dm³)</t>
        </is>
      </c>
      <c r="E29" s="30" t="inlineStr">
        <is>
          <t>Fonte: Síntese didática consolidada na literatura agronômica brasileira (não reverificada diretamente contra o Boletim 100 nesta versão).  |  Confiança: Média</t>
        </is>
      </c>
    </row>
    <row r="30">
      <c r="B30" s="7" t="inlineStr">
        <is>
          <t>Limite inferior</t>
        </is>
      </c>
      <c r="C30" s="7" t="inlineStr">
        <is>
          <t>Classe</t>
        </is>
      </c>
    </row>
    <row r="31">
      <c r="B31" s="31" t="n">
        <v>0</v>
      </c>
      <c r="C31" s="31" t="inlineStr">
        <is>
          <t>Baixo</t>
        </is>
      </c>
    </row>
    <row r="32">
      <c r="B32" s="31" t="n">
        <v>15</v>
      </c>
      <c r="C32" s="31" t="inlineStr">
        <is>
          <t>Médio</t>
        </is>
      </c>
    </row>
    <row r="33">
      <c r="B33" s="31" t="n">
        <v>30</v>
      </c>
      <c r="C33" s="31" t="inlineStr">
        <is>
          <t>Alto</t>
        </is>
      </c>
    </row>
    <row r="35" ht="18" customHeight="1">
      <c r="B35" s="4" t="inlineStr">
        <is>
          <t>Cálcio trocável (mmolc/dm³)</t>
        </is>
      </c>
      <c r="E35" s="30" t="inlineStr">
        <is>
          <t>Fonte: Faixas de referência de uso corrente na literatura agronômica brasileira para cálcio trocável (não reverificadas diretamente contra o Boletim 100 nesta versão).  |  Confiança: Baixa-Média</t>
        </is>
      </c>
    </row>
    <row r="36">
      <c r="B36" s="7" t="inlineStr">
        <is>
          <t>Limite inferior</t>
        </is>
      </c>
      <c r="C36" s="7" t="inlineStr">
        <is>
          <t>Classe</t>
        </is>
      </c>
    </row>
    <row r="37">
      <c r="B37" s="31" t="n">
        <v>0</v>
      </c>
      <c r="C37" s="31" t="inlineStr">
        <is>
          <t>Baixo</t>
        </is>
      </c>
    </row>
    <row r="38">
      <c r="B38" s="31" t="n">
        <v>4</v>
      </c>
      <c r="C38" s="31" t="inlineStr">
        <is>
          <t>Médio</t>
        </is>
      </c>
    </row>
    <row r="39">
      <c r="B39" s="31" t="n">
        <v>7</v>
      </c>
      <c r="C39" s="31" t="inlineStr">
        <is>
          <t>Alto</t>
        </is>
      </c>
    </row>
    <row r="41" ht="18" customHeight="1">
      <c r="B41" s="4" t="inlineStr">
        <is>
          <t>Magnésio trocável (mmolc/dm³)</t>
        </is>
      </c>
      <c r="E41" s="30" t="inlineStr">
        <is>
          <t>Fonte: Faixas de referência de uso corrente na literatura agronômica brasileira para magnésio trocável (não reverificadas diretamente contra o Boletim 100 nesta versão).  |  Confiança: Baixa-Média</t>
        </is>
      </c>
    </row>
    <row r="42">
      <c r="B42" s="7" t="inlineStr">
        <is>
          <t>Limite inferior</t>
        </is>
      </c>
      <c r="C42" s="7" t="inlineStr">
        <is>
          <t>Classe</t>
        </is>
      </c>
    </row>
    <row r="43">
      <c r="B43" s="31" t="n">
        <v>0</v>
      </c>
      <c r="C43" s="31" t="inlineStr">
        <is>
          <t>Baixo</t>
        </is>
      </c>
    </row>
    <row r="44">
      <c r="B44" s="31" t="n">
        <v>4</v>
      </c>
      <c r="C44" s="31" t="inlineStr">
        <is>
          <t>Médio</t>
        </is>
      </c>
    </row>
    <row r="45">
      <c r="B45" s="31" t="n">
        <v>8</v>
      </c>
      <c r="C45" s="31" t="inlineStr">
        <is>
          <t>Alto</t>
        </is>
      </c>
    </row>
    <row r="47" ht="18" customHeight="1">
      <c r="B47" s="4" t="inlineStr">
        <is>
          <t>pH (CaCl₂)</t>
        </is>
      </c>
      <c r="E47" s="30" t="inlineStr">
        <is>
          <t>Fonte: Faixa de referência de uso amplo na prática agronômica brasileira (pH em CaCl₂); o alvo técnico de correção é definido pelo V% e não pelo pH isolado.  |  Confiança: Média</t>
        </is>
      </c>
    </row>
    <row r="48">
      <c r="B48" s="7" t="inlineStr">
        <is>
          <t>Limite inferior</t>
        </is>
      </c>
      <c r="C48" s="7" t="inlineStr">
        <is>
          <t>Classe</t>
        </is>
      </c>
    </row>
    <row r="49">
      <c r="B49" s="31" t="n">
        <v>0</v>
      </c>
      <c r="C49" s="31" t="inlineStr">
        <is>
          <t>Muito baixo</t>
        </is>
      </c>
    </row>
    <row r="50">
      <c r="B50" s="31" t="n">
        <v>4.3</v>
      </c>
      <c r="C50" s="31" t="inlineStr">
        <is>
          <t>Baixo</t>
        </is>
      </c>
    </row>
    <row r="51">
      <c r="B51" s="31" t="n">
        <v>5</v>
      </c>
      <c r="C51" s="31" t="inlineStr">
        <is>
          <t>Médio</t>
        </is>
      </c>
    </row>
    <row r="52">
      <c r="B52" s="31" t="n">
        <v>5.5</v>
      </c>
      <c r="C52" s="31" t="inlineStr">
        <is>
          <t>Bom</t>
        </is>
      </c>
    </row>
    <row r="53">
      <c r="B53" s="31" t="n">
        <v>6</v>
      </c>
      <c r="C53" s="31" t="inlineStr">
        <is>
          <t>Alto</t>
        </is>
      </c>
    </row>
    <row r="55" ht="18" customHeight="1">
      <c r="B55" s="4" t="inlineStr">
        <is>
          <t>Saturação por Bases — V%</t>
        </is>
      </c>
      <c r="E55" s="30" t="inlineStr">
        <is>
          <t>Fonte: Referência consolidada na literatura agronômica brasileira (Raij et al., Boletim 100 - faixas gerais).  |  Confiança: Média</t>
        </is>
      </c>
    </row>
    <row r="56">
      <c r="B56" s="7" t="inlineStr">
        <is>
          <t>Limite inferior</t>
        </is>
      </c>
      <c r="C56" s="7" t="inlineStr">
        <is>
          <t>Classe</t>
        </is>
      </c>
    </row>
    <row r="57">
      <c r="B57" s="31" t="n">
        <v>0</v>
      </c>
      <c r="C57" s="31" t="inlineStr">
        <is>
          <t>Muito baixo</t>
        </is>
      </c>
    </row>
    <row r="58">
      <c r="B58" s="31" t="n">
        <v>30</v>
      </c>
      <c r="C58" s="31" t="inlineStr">
        <is>
          <t>Baixo</t>
        </is>
      </c>
    </row>
    <row r="59">
      <c r="B59" s="31" t="n">
        <v>50</v>
      </c>
      <c r="C59" s="31" t="inlineStr">
        <is>
          <t>Médio</t>
        </is>
      </c>
    </row>
    <row r="60">
      <c r="B60" s="31" t="n">
        <v>70</v>
      </c>
      <c r="C60" s="31" t="inlineStr">
        <is>
          <t>Alto</t>
        </is>
      </c>
    </row>
    <row r="61">
      <c r="B61" s="31" t="n">
        <v>90</v>
      </c>
      <c r="C61" s="31" t="inlineStr">
        <is>
          <t>Muito alto</t>
        </is>
      </c>
    </row>
    <row r="63" ht="18" customHeight="1">
      <c r="B63" s="4" t="inlineStr">
        <is>
          <t>Saturação por Alumínio — m%</t>
        </is>
      </c>
      <c r="E63" s="30" t="inlineStr">
        <is>
          <t>Fonte: Sousa &amp; Lobato (2004) - limiar de 20% usado como critério de gessagem; faixas completas de referência didática.  |  Confiança: Média-Alta</t>
        </is>
      </c>
    </row>
    <row r="64">
      <c r="B64" s="7" t="inlineStr">
        <is>
          <t>Limite inferior</t>
        </is>
      </c>
      <c r="C64" s="7" t="inlineStr">
        <is>
          <t>Classe</t>
        </is>
      </c>
    </row>
    <row r="65">
      <c r="B65" s="31" t="n">
        <v>0</v>
      </c>
      <c r="C65" s="31" t="inlineStr">
        <is>
          <t>Baixo</t>
        </is>
      </c>
    </row>
    <row r="66">
      <c r="B66" s="31" t="n">
        <v>15</v>
      </c>
      <c r="C66" s="31" t="inlineStr">
        <is>
          <t>Médio</t>
        </is>
      </c>
    </row>
    <row r="67">
      <c r="B67" s="31" t="n">
        <v>30</v>
      </c>
      <c r="C67" s="31" t="inlineStr">
        <is>
          <t>Alto</t>
        </is>
      </c>
    </row>
    <row r="68">
      <c r="B68" s="31" t="n">
        <v>50</v>
      </c>
      <c r="C68" s="31" t="inlineStr">
        <is>
          <t>Muito alto</t>
        </is>
      </c>
    </row>
    <row r="70" ht="18" customHeight="1">
      <c r="B70" s="4" t="inlineStr">
        <is>
          <t>Micronutriente — Zn (mg/dm³)</t>
        </is>
      </c>
      <c r="E70" s="30" t="inlineStr">
        <is>
          <t>Fonte: Valores de referência de uso corrente na prática agronômica brasileira; tabelas completas do Boletim 100 e CQFS-RS/SC não confirmadas nesta versão.  |  Confiança: Baixa-Média</t>
        </is>
      </c>
    </row>
    <row r="71">
      <c r="B71" s="7" t="inlineStr">
        <is>
          <t>Limite inferior</t>
        </is>
      </c>
      <c r="C71" s="7" t="inlineStr">
        <is>
          <t>Classe</t>
        </is>
      </c>
    </row>
    <row r="72">
      <c r="B72" s="31" t="n">
        <v>0</v>
      </c>
      <c r="C72" s="31" t="inlineStr">
        <is>
          <t>Baixo</t>
        </is>
      </c>
    </row>
    <row r="73">
      <c r="B73" s="31" t="n">
        <v>0.6</v>
      </c>
      <c r="C73" s="31" t="inlineStr">
        <is>
          <t>Médio</t>
        </is>
      </c>
    </row>
    <row r="74">
      <c r="B74" s="31" t="n">
        <v>1.2</v>
      </c>
      <c r="C74" s="31" t="inlineStr">
        <is>
          <t>Alto</t>
        </is>
      </c>
    </row>
    <row r="76" ht="18" customHeight="1">
      <c r="B76" s="4" t="inlineStr">
        <is>
          <t>Micronutriente — Cu (mg/dm³)</t>
        </is>
      </c>
      <c r="E76" s="30" t="inlineStr">
        <is>
          <t>Fonte: Valores de referência de uso corrente na prática agronômica brasileira; tabelas completas do Boletim 100 e CQFS-RS/SC não confirmadas nesta versão.  |  Confiança: Baixa-Média</t>
        </is>
      </c>
    </row>
    <row r="77">
      <c r="B77" s="7" t="inlineStr">
        <is>
          <t>Limite inferior</t>
        </is>
      </c>
      <c r="C77" s="7" t="inlineStr">
        <is>
          <t>Classe</t>
        </is>
      </c>
    </row>
    <row r="78">
      <c r="B78" s="31" t="n">
        <v>0</v>
      </c>
      <c r="C78" s="31" t="inlineStr">
        <is>
          <t>Baixo</t>
        </is>
      </c>
    </row>
    <row r="79">
      <c r="B79" s="31" t="n">
        <v>0.3</v>
      </c>
      <c r="C79" s="31" t="inlineStr">
        <is>
          <t>Médio</t>
        </is>
      </c>
    </row>
    <row r="80">
      <c r="B80" s="31" t="n">
        <v>0.8</v>
      </c>
      <c r="C80" s="31" t="inlineStr">
        <is>
          <t>Alto</t>
        </is>
      </c>
    </row>
    <row r="82" ht="18" customHeight="1">
      <c r="B82" s="4" t="inlineStr">
        <is>
          <t>Micronutriente — Mn (mg/dm³)</t>
        </is>
      </c>
      <c r="E82" s="30" t="inlineStr">
        <is>
          <t>Fonte: Valores de referência de uso corrente na prática agronômica brasileira; tabelas completas do Boletim 100 e CQFS-RS/SC não confirmadas nesta versão.  |  Confiança: Baixa-Média</t>
        </is>
      </c>
    </row>
    <row r="83">
      <c r="B83" s="7" t="inlineStr">
        <is>
          <t>Limite inferior</t>
        </is>
      </c>
      <c r="C83" s="7" t="inlineStr">
        <is>
          <t>Classe</t>
        </is>
      </c>
    </row>
    <row r="84">
      <c r="B84" s="31" t="n">
        <v>0</v>
      </c>
      <c r="C84" s="31" t="inlineStr">
        <is>
          <t>Baixo</t>
        </is>
      </c>
    </row>
    <row r="85">
      <c r="B85" s="31" t="n">
        <v>1.2</v>
      </c>
      <c r="C85" s="31" t="inlineStr">
        <is>
          <t>Médio</t>
        </is>
      </c>
    </row>
    <row r="86">
      <c r="B86" s="31" t="n">
        <v>5</v>
      </c>
      <c r="C86" s="31" t="inlineStr">
        <is>
          <t>Alto</t>
        </is>
      </c>
    </row>
    <row r="88" ht="18" customHeight="1">
      <c r="B88" s="4" t="inlineStr">
        <is>
          <t>Micronutriente — Fe (mg/dm³)</t>
        </is>
      </c>
      <c r="E88" s="30" t="inlineStr">
        <is>
          <t>Fonte: Valores de referência de uso corrente na prática agronômica brasileira; tabelas completas do Boletim 100 e CQFS-RS/SC não confirmadas nesta versão.  |  Confiança: Baixa-Média</t>
        </is>
      </c>
    </row>
    <row r="89">
      <c r="B89" s="7" t="inlineStr">
        <is>
          <t>Limite inferior</t>
        </is>
      </c>
      <c r="C89" s="7" t="inlineStr">
        <is>
          <t>Classe</t>
        </is>
      </c>
    </row>
    <row r="90">
      <c r="B90" s="31" t="n">
        <v>0</v>
      </c>
      <c r="C90" s="31" t="inlineStr">
        <is>
          <t>Baixo</t>
        </is>
      </c>
    </row>
    <row r="91">
      <c r="B91" s="31" t="n">
        <v>5</v>
      </c>
      <c r="C91" s="31" t="inlineStr">
        <is>
          <t>Médio</t>
        </is>
      </c>
    </row>
    <row r="92">
      <c r="B92" s="31" t="n">
        <v>12</v>
      </c>
      <c r="C92" s="31" t="inlineStr">
        <is>
          <t>Alto</t>
        </is>
      </c>
    </row>
    <row r="94" ht="18" customHeight="1">
      <c r="B94" s="4" t="inlineStr">
        <is>
          <t>Micronutriente — B (mg/dm³)</t>
        </is>
      </c>
      <c r="E94" s="30" t="inlineStr">
        <is>
          <t>Fonte: Valores de referência de uso corrente na prática agronômica brasileira; tabelas completas do Boletim 100 e CQFS-RS/SC não confirmadas nesta versão.  |  Confiança: Baixa-Média</t>
        </is>
      </c>
    </row>
    <row r="95">
      <c r="B95" s="7" t="inlineStr">
        <is>
          <t>Limite inferior</t>
        </is>
      </c>
      <c r="C95" s="7" t="inlineStr">
        <is>
          <t>Classe</t>
        </is>
      </c>
    </row>
    <row r="96">
      <c r="B96" s="31" t="n">
        <v>0</v>
      </c>
      <c r="C96" s="31" t="inlineStr">
        <is>
          <t>Baixo</t>
        </is>
      </c>
    </row>
    <row r="97">
      <c r="B97" s="31" t="n">
        <v>0.21</v>
      </c>
      <c r="C97" s="31" t="inlineStr">
        <is>
          <t>Médio</t>
        </is>
      </c>
    </row>
    <row r="98">
      <c r="B98" s="31" t="n">
        <v>0.6</v>
      </c>
      <c r="C98" s="31" t="inlineStr">
        <is>
          <t>Alto</t>
        </is>
      </c>
    </row>
    <row r="100" ht="18" customHeight="1">
      <c r="B100" s="4" t="inlineStr">
        <is>
          <t>Micronutriente — Mo (mg/dm³)</t>
        </is>
      </c>
      <c r="E100" s="30" t="inlineStr">
        <is>
          <t>Fonte: Valores de referência de uso corrente na prática agronômica brasileira; tabelas completas do Boletim 100 e CQFS-RS/SC não confirmadas nesta versão.  |  Confiança: Baixa-Média</t>
        </is>
      </c>
    </row>
    <row r="101">
      <c r="B101" s="7" t="inlineStr">
        <is>
          <t>Limite inferior</t>
        </is>
      </c>
      <c r="C101" s="7" t="inlineStr">
        <is>
          <t>Classe</t>
        </is>
      </c>
    </row>
    <row r="102">
      <c r="B102" s="31" t="n">
        <v>0</v>
      </c>
      <c r="C102" s="31" t="inlineStr">
        <is>
          <t>Baixo</t>
        </is>
      </c>
    </row>
    <row r="103">
      <c r="B103" s="31" t="n">
        <v>0.05</v>
      </c>
      <c r="C103" s="31" t="inlineStr">
        <is>
          <t>Médio</t>
        </is>
      </c>
    </row>
    <row r="104">
      <c r="B104" s="31" t="n">
        <v>0.2</v>
      </c>
      <c r="C104" s="31" t="inlineStr">
        <is>
          <t>Alto</t>
        </is>
      </c>
    </row>
  </sheetData>
  <mergeCells count="17">
    <mergeCell ref="B13:C13"/>
    <mergeCell ref="B55:C55"/>
    <mergeCell ref="B70:C70"/>
    <mergeCell ref="B21:C21"/>
    <mergeCell ref="B1:E1"/>
    <mergeCell ref="B47:C47"/>
    <mergeCell ref="B29:C29"/>
    <mergeCell ref="B100:C100"/>
    <mergeCell ref="B5:C5"/>
    <mergeCell ref="B76:C76"/>
    <mergeCell ref="B3:E3"/>
    <mergeCell ref="B63:C63"/>
    <mergeCell ref="B94:C94"/>
    <mergeCell ref="B41:C41"/>
    <mergeCell ref="B88:C88"/>
    <mergeCell ref="B35:C35"/>
    <mergeCell ref="B82:C8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H36"/>
  <sheetViews>
    <sheetView showGridLines="0" workbookViewId="0">
      <selection activeCell="A1" sqref="A1"/>
    </sheetView>
  </sheetViews>
  <sheetFormatPr baseColWidth="8" defaultRowHeight="15"/>
  <cols>
    <col width="2" customWidth="1" min="1" max="1"/>
    <col width="22" customWidth="1" min="2" max="2"/>
    <col width="14" customWidth="1" min="3" max="3"/>
    <col width="12" customWidth="1" min="4" max="4"/>
    <col width="16" customWidth="1" min="5" max="5"/>
    <col width="30" customWidth="1" min="6" max="6"/>
    <col width="3" customWidth="1" min="7" max="7"/>
    <col width="1" customWidth="1" min="8" max="8"/>
  </cols>
  <sheetData>
    <row r="1" ht="28" customHeight="1">
      <c r="B1" s="1" t="inlineStr">
        <is>
          <t>INTERPRETAÇÃO AUTOMÁTICA DA ANÁLISE DE SOLO</t>
        </is>
      </c>
    </row>
    <row r="3">
      <c r="B3" s="7" t="inlineStr">
        <is>
          <t>Parâmetro</t>
        </is>
      </c>
      <c r="C3" s="7" t="inlineStr">
        <is>
          <t>Valor padronizado</t>
        </is>
      </c>
      <c r="D3" s="7" t="inlineStr">
        <is>
          <t>Unidade</t>
        </is>
      </c>
      <c r="E3" s="7" t="inlineStr">
        <is>
          <t>Classificação</t>
        </is>
      </c>
      <c r="F3" s="7" t="inlineStr">
        <is>
          <t>Diagnóstico / Ação sugerida</t>
        </is>
      </c>
    </row>
    <row r="4">
      <c r="B4" s="8" t="inlineStr">
        <is>
          <t>pH (CaCl₂)</t>
        </is>
      </c>
      <c r="C4" s="32">
        <f>'Dados de Entrada'!E24</f>
        <v/>
      </c>
      <c r="D4" s="26" t="inlineStr">
        <is>
          <t>-</t>
        </is>
      </c>
      <c r="E4" s="33">
        <f>VLOOKUP(C4,TAB_PH,2,TRUE)</f>
        <v/>
      </c>
      <c r="F4" s="34">
        <f>IF(OR(E4="Muito baixo",E4="Baixo"),"Prioridade de correção/construção de fertilidade",IF(E4="Médio","Adequado - manter e monitorar",IF(OR(E4="Alto",E4="Muito alto"),"Sem prioridade - risco de excesso/custo desnecessário se adubar",IF(E4="Adequado","Adequado - manter e monitorar","-"))))</f>
        <v/>
      </c>
    </row>
    <row r="5">
      <c r="B5" s="8" t="inlineStr">
        <is>
          <t>Matéria Orgânica</t>
        </is>
      </c>
      <c r="C5" s="32">
        <f>'Dados de Entrada'!E25</f>
        <v/>
      </c>
      <c r="D5" s="26" t="inlineStr">
        <is>
          <t>g/dm³</t>
        </is>
      </c>
      <c r="E5" s="33">
        <f>VLOOKUP(C5,TAB_MO,2,TRUE)</f>
        <v/>
      </c>
      <c r="F5" s="34">
        <f>IF(OR(E5="Muito baixo",E5="Baixo"),"Prioridade de correção/construção de fertilidade",IF(E5="Médio","Adequado - manter e monitorar",IF(OR(E5="Alto",E5="Muito alto"),"Sem prioridade - risco de excesso/custo desnecessário se adubar",IF(E5="Adequado","Adequado - manter e monitorar","-"))))</f>
        <v/>
      </c>
    </row>
    <row r="6">
      <c r="B6" s="8" t="inlineStr">
        <is>
          <t>Fósforo (P)</t>
        </is>
      </c>
      <c r="C6" s="32">
        <f>'Dados de Entrada'!E26</f>
        <v/>
      </c>
      <c r="D6" s="26" t="inlineStr">
        <is>
          <t>mg/dm³</t>
        </is>
      </c>
      <c r="E6" s="33">
        <f>VLOOKUP(C6,IF('Dados de Entrada'!C11="Irrigado",TAB_P_IRR,TAB_P_SEQ),2,TRUE)</f>
        <v/>
      </c>
      <c r="F6" s="34">
        <f>IF(OR(E6="Muito baixo",E6="Baixo"),"Prioridade de correção/construção de fertilidade",IF(E6="Médio","Adequado - manter e monitorar",IF(OR(E6="Alto",E6="Muito alto"),"Sem prioridade - risco de excesso/custo desnecessário se adubar",IF(E6="Adequado","Adequado - manter e monitorar","-"))))</f>
        <v/>
      </c>
    </row>
    <row r="7">
      <c r="B7" s="8" t="inlineStr">
        <is>
          <t>Potássio (K)</t>
        </is>
      </c>
      <c r="C7" s="32">
        <f>'Dados de Entrada'!E27</f>
        <v/>
      </c>
      <c r="D7" s="26" t="inlineStr">
        <is>
          <t>mmolc/dm³</t>
        </is>
      </c>
      <c r="E7" s="33">
        <f>VLOOKUP(C7,TAB_K,2,TRUE)</f>
        <v/>
      </c>
      <c r="F7" s="34">
        <f>IF(OR(E7="Muito baixo",E7="Baixo"),"Prioridade de correção/construção de fertilidade",IF(E7="Médio","Adequado - manter e monitorar",IF(OR(E7="Alto",E7="Muito alto"),"Sem prioridade - risco de excesso/custo desnecessário se adubar",IF(E7="Adequado","Adequado - manter e monitorar","-"))))</f>
        <v/>
      </c>
    </row>
    <row r="8">
      <c r="B8" s="8" t="inlineStr">
        <is>
          <t>Cálcio (Ca)</t>
        </is>
      </c>
      <c r="C8" s="32">
        <f>'Dados de Entrada'!E28</f>
        <v/>
      </c>
      <c r="D8" s="26" t="inlineStr">
        <is>
          <t>mmolc/dm³</t>
        </is>
      </c>
      <c r="E8" s="33">
        <f>VLOOKUP(C8,TAB_CA,2,TRUE)</f>
        <v/>
      </c>
      <c r="F8" s="34">
        <f>IF(OR(E8="Muito baixo",E8="Baixo"),"Prioridade de correção/construção de fertilidade",IF(E8="Médio","Adequado - manter e monitorar",IF(OR(E8="Alto",E8="Muito alto"),"Sem prioridade - risco de excesso/custo desnecessário se adubar",IF(E8="Adequado","Adequado - manter e monitorar","-"))))</f>
        <v/>
      </c>
    </row>
    <row r="9">
      <c r="B9" s="8" t="inlineStr">
        <is>
          <t>Magnésio (Mg)</t>
        </is>
      </c>
      <c r="C9" s="32">
        <f>'Dados de Entrada'!E29</f>
        <v/>
      </c>
      <c r="D9" s="26" t="inlineStr">
        <is>
          <t>mmolc/dm³</t>
        </is>
      </c>
      <c r="E9" s="33">
        <f>VLOOKUP(C9,TAB_MG,2,TRUE)</f>
        <v/>
      </c>
      <c r="F9" s="34">
        <f>IF(OR(E9="Muito baixo",E9="Baixo"),"Prioridade de correção/construção de fertilidade",IF(E9="Médio","Adequado - manter e monitorar",IF(OR(E9="Alto",E9="Muito alto"),"Sem prioridade - risco de excesso/custo desnecessário se adubar",IF(E9="Adequado","Adequado - manter e monitorar","-"))))</f>
        <v/>
      </c>
    </row>
    <row r="10">
      <c r="B10" s="8" t="inlineStr">
        <is>
          <t>Saturação por Bases (V%)</t>
        </is>
      </c>
      <c r="C10" s="32">
        <f>'Dados de Entrada'!C45</f>
        <v/>
      </c>
      <c r="D10" s="26" t="inlineStr">
        <is>
          <t>%</t>
        </is>
      </c>
      <c r="E10" s="33">
        <f>VLOOKUP(C10,TAB_V,2,TRUE)</f>
        <v/>
      </c>
      <c r="F10" s="34">
        <f>IF(OR(E10="Muito baixo",E10="Baixo"),"Prioridade de correção/construção de fertilidade",IF(E10="Médio","Adequado - manter e monitorar",IF(OR(E10="Alto",E10="Muito alto"),"Sem prioridade - risco de excesso/custo desnecessário se adubar",IF(E10="Adequado","Adequado - manter e monitorar","-"))))</f>
        <v/>
      </c>
    </row>
    <row r="11">
      <c r="B11" s="8" t="inlineStr">
        <is>
          <t>Saturação por Alumínio (m%)</t>
        </is>
      </c>
      <c r="C11" s="32">
        <f>'Dados de Entrada'!C46</f>
        <v/>
      </c>
      <c r="D11" s="26" t="inlineStr">
        <is>
          <t>%</t>
        </is>
      </c>
      <c r="E11" s="33">
        <f>VLOOKUP(C11,TAB_M,2,TRUE)</f>
        <v/>
      </c>
      <c r="F11" s="34">
        <f>IF(OR(E11="Alto",E11="Muito alto"),"Prioridade de correção (calagem/gessagem)",IF(E11="Médio","Atenção - monitorar risco de toxidez",IF(OR(E11="Baixo",E11="Muito baixo"),"Sem restrição - condição favorável","-")))</f>
        <v/>
      </c>
    </row>
    <row r="12">
      <c r="B12" s="8" t="inlineStr">
        <is>
          <t>Enxofre (S-SO₄)</t>
        </is>
      </c>
      <c r="C12" s="32">
        <f>'Dados de Entrada'!E32</f>
        <v/>
      </c>
      <c r="D12" s="26" t="inlineStr">
        <is>
          <t>mg/dm³</t>
        </is>
      </c>
      <c r="E12" s="33">
        <f>IF(C12&lt;5,"Baixo",IF(C12&lt;=10,"Médio","Alto"))</f>
        <v/>
      </c>
      <c r="F12" s="31">
        <f>IF(OR(E12="Muito baixo",E12="Baixo"),"Prioridade de correção/construção de fertilidade",IF(E12="Médio","Adequado - manter e monitorar",IF(OR(E12="Alto",E12="Muito alto"),"Sem prioridade - risco de excesso/custo desnecessário se adubar",IF(E12="Adequado","Adequado - manter e monitorar","-"))))</f>
        <v/>
      </c>
    </row>
    <row r="13">
      <c r="B13" s="8" t="inlineStr">
        <is>
          <t>Zinco (Zn)</t>
        </is>
      </c>
      <c r="C13" s="32">
        <f>'Dados de Entrada'!E37</f>
        <v/>
      </c>
      <c r="D13" s="26" t="inlineStr">
        <is>
          <t>mg/dm³</t>
        </is>
      </c>
      <c r="E13" s="33">
        <f>VLOOKUP(C13,TAB_ZN,2,TRUE)</f>
        <v/>
      </c>
      <c r="F13" s="34">
        <f>IF(OR(E13="Muito baixo",E13="Baixo"),"Prioridade de correção/construção de fertilidade",IF(E13="Médio","Adequado - manter e monitorar",IF(OR(E13="Alto",E13="Muito alto"),"Sem prioridade - risco de excesso/custo desnecessário se adubar",IF(E13="Adequado","Adequado - manter e monitorar","-"))))</f>
        <v/>
      </c>
    </row>
    <row r="14">
      <c r="B14" s="8" t="inlineStr">
        <is>
          <t>Cobre (Cu)</t>
        </is>
      </c>
      <c r="C14" s="32">
        <f>'Dados de Entrada'!E34</f>
        <v/>
      </c>
      <c r="D14" s="26" t="inlineStr">
        <is>
          <t>mg/dm³</t>
        </is>
      </c>
      <c r="E14" s="33">
        <f>VLOOKUP(C14,TAB_CU,2,TRUE)</f>
        <v/>
      </c>
      <c r="F14" s="34">
        <f>IF(OR(E14="Muito baixo",E14="Baixo"),"Prioridade de correção/construção de fertilidade",IF(E14="Médio","Adequado - manter e monitorar",IF(OR(E14="Alto",E14="Muito alto"),"Sem prioridade - risco de excesso/custo desnecessário se adubar",IF(E14="Adequado","Adequado - manter e monitorar","-"))))</f>
        <v/>
      </c>
    </row>
    <row r="15">
      <c r="B15" s="8" t="inlineStr">
        <is>
          <t>Manganês (Mn)</t>
        </is>
      </c>
      <c r="C15" s="32">
        <f>'Dados de Entrada'!E36</f>
        <v/>
      </c>
      <c r="D15" s="26" t="inlineStr">
        <is>
          <t>mg/dm³</t>
        </is>
      </c>
      <c r="E15" s="33">
        <f>VLOOKUP(C15,TAB_MN,2,TRUE)</f>
        <v/>
      </c>
      <c r="F15" s="34">
        <f>IF(OR(E15="Muito baixo",E15="Baixo"),"Prioridade de correção/construção de fertilidade",IF(E15="Médio","Adequado - manter e monitorar",IF(OR(E15="Alto",E15="Muito alto"),"Sem prioridade - risco de excesso/custo desnecessário se adubar",IF(E15="Adequado","Adequado - manter e monitorar","-"))))</f>
        <v/>
      </c>
    </row>
    <row r="16">
      <c r="B16" s="8" t="inlineStr">
        <is>
          <t>Ferro (Fe)</t>
        </is>
      </c>
      <c r="C16" s="32">
        <f>'Dados de Entrada'!E35</f>
        <v/>
      </c>
      <c r="D16" s="26" t="inlineStr">
        <is>
          <t>mg/dm³</t>
        </is>
      </c>
      <c r="E16" s="33">
        <f>VLOOKUP(C16,TAB_FE,2,TRUE)</f>
        <v/>
      </c>
      <c r="F16" s="34">
        <f>IF(OR(E16="Muito baixo",E16="Baixo"),"Prioridade de correção/construção de fertilidade",IF(E16="Médio","Adequado - manter e monitorar",IF(OR(E16="Alto",E16="Muito alto"),"Sem prioridade - risco de excesso/custo desnecessário se adubar",IF(E16="Adequado","Adequado - manter e monitorar","-"))))</f>
        <v/>
      </c>
    </row>
    <row r="17">
      <c r="B17" s="8" t="inlineStr">
        <is>
          <t>Boro (B)</t>
        </is>
      </c>
      <c r="C17" s="32">
        <f>'Dados de Entrada'!E33</f>
        <v/>
      </c>
      <c r="D17" s="26" t="inlineStr">
        <is>
          <t>mg/dm³</t>
        </is>
      </c>
      <c r="E17" s="33">
        <f>VLOOKUP(C17,TAB_B,2,TRUE)</f>
        <v/>
      </c>
      <c r="F17" s="34">
        <f>IF(OR(E17="Muito baixo",E17="Baixo"),"Prioridade de correção/construção de fertilidade",IF(E17="Médio","Adequado - manter e monitorar",IF(OR(E17="Alto",E17="Muito alto"),"Sem prioridade - risco de excesso/custo desnecessário se adubar",IF(E17="Adequado","Adequado - manter e monitorar","-"))))</f>
        <v/>
      </c>
    </row>
    <row r="18">
      <c r="B18" s="8" t="inlineStr">
        <is>
          <t>Molibdênio (Mo)</t>
        </is>
      </c>
      <c r="C18" s="32">
        <f>'Dados de Entrada'!E38</f>
        <v/>
      </c>
      <c r="D18" s="26" t="inlineStr">
        <is>
          <t>mg/dm³</t>
        </is>
      </c>
      <c r="E18" s="33">
        <f>VLOOKUP(C18,TAB_MOL,2,TRUE)</f>
        <v/>
      </c>
      <c r="F18" s="34">
        <f>IF(OR(E18="Muito baixo",E18="Baixo"),"Prioridade de correção/construção de fertilidade",IF(E18="Médio","Adequado - manter e monitorar",IF(OR(E18="Alto",E18="Muito alto"),"Sem prioridade - risco de excesso/custo desnecessário se adubar",IF(E18="Adequado","Adequado - manter e monitorar","-"))))</f>
        <v/>
      </c>
    </row>
    <row r="20" ht="20" customHeight="1">
      <c r="B20" s="4" t="inlineStr">
        <is>
          <t>Diagnóstico Geral — Limitações do Solo</t>
        </is>
      </c>
    </row>
    <row r="21">
      <c r="B21" s="11" t="inlineStr">
        <is>
          <t>Nutrientes/atributos em nível Muito baixo ou Baixo (prioridade de correção):</t>
        </is>
      </c>
    </row>
    <row r="22" ht="24" customHeight="1">
      <c r="B22" s="35">
        <f>IF(COUNTIF(H22:H36,"?*")=0,"Nenhuma limitação identificada - solo em nível adequado a alto nos parâmetros avaliados",_xlfn.TEXTJOIN(", ",TRUE,H22:H36))</f>
        <v/>
      </c>
      <c r="H22" s="36">
        <f>IF(OR(E4="Muito baixo",E4="Baixo"),"pH","")</f>
        <v/>
      </c>
    </row>
    <row r="23">
      <c r="H23" s="36">
        <f>IF(OR(E5="Muito baixo",E5="Baixo"),"Matéria Orgânica","")</f>
        <v/>
      </c>
    </row>
    <row r="24">
      <c r="H24" s="36">
        <f>IF(OR(E6="Muito baixo",E6="Baixo"),"Fósforo","")</f>
        <v/>
      </c>
    </row>
    <row r="25">
      <c r="H25" s="36">
        <f>IF(OR(E7="Muito baixo",E7="Baixo"),"Potássio","")</f>
        <v/>
      </c>
    </row>
    <row r="26">
      <c r="H26" s="36">
        <f>IF(OR(E8="Muito baixo",E8="Baixo"),"Cálcio","")</f>
        <v/>
      </c>
    </row>
    <row r="27">
      <c r="H27" s="36">
        <f>IF(OR(E9="Muito baixo",E9="Baixo"),"Magnésio","")</f>
        <v/>
      </c>
    </row>
    <row r="28">
      <c r="H28" s="36">
        <f>IF(OR(E10="Muito baixo",E10="Baixo"),"V%","")</f>
        <v/>
      </c>
    </row>
    <row r="29">
      <c r="H29" s="36">
        <f>IF(OR(E11="Alto",E11="Muito alto"),"m% (Al)","")</f>
        <v/>
      </c>
    </row>
    <row r="30">
      <c r="H30" s="36">
        <f>IF(OR(E12="Muito baixo",E12="Baixo"),"Enxofre","")</f>
        <v/>
      </c>
    </row>
    <row r="31">
      <c r="H31" s="36">
        <f>IF(OR(E13="Muito baixo",E13="Baixo"),"Zinco","")</f>
        <v/>
      </c>
    </row>
    <row r="32">
      <c r="H32" s="36">
        <f>IF(OR(E14="Muito baixo",E14="Baixo"),"Cobre","")</f>
        <v/>
      </c>
    </row>
    <row r="33">
      <c r="H33" s="36">
        <f>IF(OR(E15="Muito baixo",E15="Baixo"),"Manganês","")</f>
        <v/>
      </c>
    </row>
    <row r="34">
      <c r="H34" s="36">
        <f>IF(OR(E16="Muito baixo",E16="Baixo"),"Ferro","")</f>
        <v/>
      </c>
    </row>
    <row r="35">
      <c r="H35" s="36">
        <f>IF(OR(E17="Muito baixo",E17="Baixo"),"Boro","")</f>
        <v/>
      </c>
    </row>
    <row r="36">
      <c r="H36" s="36">
        <f>IF(OR(E18="Muito baixo",E18="Baixo"),"Molibdênio","")</f>
        <v/>
      </c>
    </row>
  </sheetData>
  <mergeCells count="4">
    <mergeCell ref="B20:F20"/>
    <mergeCell ref="B21:C21"/>
    <mergeCell ref="B22:F22"/>
    <mergeCell ref="B1:F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K5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6" customWidth="1" min="3" max="3"/>
    <col width="16" customWidth="1" min="4" max="4"/>
    <col width="16" customWidth="1" min="5" max="5"/>
    <col width="3" customWidth="1" min="6" max="6"/>
    <col width="20" customWidth="1" min="10" max="10"/>
    <col width="22" customWidth="1" min="11" max="11"/>
  </cols>
  <sheetData>
    <row r="1" ht="28" customHeight="1">
      <c r="B1" s="1" t="inlineStr">
        <is>
          <t>CALAGEM — Necessidade de Calcário (3 métodos + escolha técnica)</t>
        </is>
      </c>
    </row>
    <row r="3" ht="20" customHeight="1">
      <c r="B3" s="4" t="inlineStr">
        <is>
          <t>1. Parâmetros de entrada (vinculados à aba Dados de Entrada)</t>
        </is>
      </c>
    </row>
    <row r="4">
      <c r="B4" s="11" t="inlineStr">
        <is>
          <t>CTC a pH 7,0 - T (mmolc/dm³)</t>
        </is>
      </c>
      <c r="C4" s="32">
        <f>'Dados de Entrada'!C44</f>
        <v/>
      </c>
    </row>
    <row r="5">
      <c r="B5" s="11" t="inlineStr">
        <is>
          <t>Saturação por Bases atual - V1 (%)</t>
        </is>
      </c>
      <c r="C5" s="37">
        <f>'Dados de Entrada'!C45</f>
        <v/>
      </c>
    </row>
    <row r="6">
      <c r="B6" s="11" t="inlineStr">
        <is>
          <t>Alumínio trocável - Al³⁺ (mmolc/dm³)</t>
        </is>
      </c>
      <c r="C6" s="32">
        <f>'Dados de Entrada'!E30</f>
        <v/>
      </c>
    </row>
    <row r="7">
      <c r="B7" s="11" t="inlineStr">
        <is>
          <t>Cálcio (Ca²⁺, mmolc/dm³)</t>
        </is>
      </c>
      <c r="C7" s="32">
        <f>'Dados de Entrada'!E28</f>
        <v/>
      </c>
    </row>
    <row r="8">
      <c r="B8" s="11" t="inlineStr">
        <is>
          <t>Magnésio (Mg²⁺, mmolc/dm³)</t>
        </is>
      </c>
      <c r="C8" s="32">
        <f>'Dados de Entrada'!E29</f>
        <v/>
      </c>
    </row>
    <row r="9">
      <c r="B9" s="11" t="inlineStr">
        <is>
          <t>Teor de argila (%)</t>
        </is>
      </c>
      <c r="C9" s="37">
        <f>'Dados de Entrada'!C18</f>
        <v/>
      </c>
    </row>
    <row r="10">
      <c r="B10" s="11" t="inlineStr">
        <is>
          <t>Estado (UF)</t>
        </is>
      </c>
      <c r="C10" s="38">
        <f>'Dados de Entrada'!C6</f>
        <v/>
      </c>
    </row>
    <row r="11">
      <c r="B11" s="11" t="inlineStr">
        <is>
          <t>Cultura</t>
        </is>
      </c>
      <c r="C11" s="38">
        <f>'Dados de Entrada'!C8</f>
        <v/>
      </c>
    </row>
    <row r="12">
      <c r="B12" s="11" t="inlineStr">
        <is>
          <t>PRNT do calcário disponível (%)</t>
        </is>
      </c>
      <c r="C12" s="21" t="n">
        <v>80</v>
      </c>
    </row>
    <row r="13">
      <c r="B13" s="11" t="inlineStr">
        <is>
          <t>V2 desejado - override manual (%) [deixe em branco para usar o valor técnico por cultura]</t>
        </is>
      </c>
      <c r="C13" s="18" t="n"/>
    </row>
    <row r="15">
      <c r="B15" s="11" t="inlineStr">
        <is>
          <t>V2 sugerido pela cultura (técnico)</t>
        </is>
      </c>
      <c r="C15" s="39">
        <f>IFERROR(INDEX(TAB_V2_CULTURA,MATCH(C11,INDEX(TAB_V2_CULTURA,0,1),0),2),70)</f>
        <v/>
      </c>
      <c r="J15" s="40" t="inlineStr">
        <is>
          <t>Cultura</t>
        </is>
      </c>
      <c r="K15" s="40" t="inlineStr">
        <is>
          <t>V2 alvo (%)</t>
        </is>
      </c>
    </row>
    <row r="16">
      <c r="B16" s="41" t="inlineStr">
        <is>
          <t>V2 adotado no cálculo</t>
        </is>
      </c>
      <c r="C16" s="42">
        <f>IF(C13="",C15,C13)</f>
        <v/>
      </c>
      <c r="J16" s="43" t="inlineStr">
        <is>
          <t>Soja</t>
        </is>
      </c>
      <c r="K16" s="43" t="n">
        <v>70</v>
      </c>
    </row>
    <row r="17">
      <c r="B17" s="11" t="inlineStr">
        <is>
          <t>Estado é predominantemente Cerrado?</t>
        </is>
      </c>
      <c r="C17" s="31">
        <f>IFERROR(VLOOKUP(C10,TAB_UF_CERRADO,2,FALSE),"Não")</f>
        <v/>
      </c>
      <c r="J17" s="43" t="inlineStr">
        <is>
          <t>Milho</t>
        </is>
      </c>
      <c r="K17" s="43" t="n">
        <v>70</v>
      </c>
    </row>
    <row r="18">
      <c r="J18" s="43" t="inlineStr">
        <is>
          <t>Sorgo</t>
        </is>
      </c>
      <c r="K18" s="43" t="n">
        <v>60</v>
      </c>
    </row>
    <row r="19" ht="20" customHeight="1">
      <c r="B19" s="4" t="inlineStr">
        <is>
          <t>2. Resultado por método (todos calculados; consulte fonte e confiança)</t>
        </is>
      </c>
      <c r="J19" s="43" t="inlineStr">
        <is>
          <t>Feijão</t>
        </is>
      </c>
      <c r="K19" s="43" t="n">
        <v>70</v>
      </c>
    </row>
    <row r="20">
      <c r="B20" s="7" t="inlineStr">
        <is>
          <t>Método</t>
        </is>
      </c>
      <c r="C20" s="7" t="inlineStr">
        <is>
          <t>NC bruta a PRNT=100% (t/ha)</t>
        </is>
      </c>
      <c r="D20" s="7" t="inlineStr">
        <is>
          <t>PRNT considerado (%)</t>
        </is>
      </c>
      <c r="E20" s="7" t="inlineStr">
        <is>
          <t>NC corrigida pelo PRNT (t/ha)</t>
        </is>
      </c>
      <c r="F20" s="7" t="inlineStr">
        <is>
          <t>Confiança</t>
        </is>
      </c>
      <c r="J20" s="43" t="inlineStr">
        <is>
          <t>Cana-de-açúcar</t>
        </is>
      </c>
      <c r="K20" s="43" t="n">
        <v>60</v>
      </c>
    </row>
    <row r="21">
      <c r="B21" s="31" t="inlineStr">
        <is>
          <t>Método da saturação por bases</t>
        </is>
      </c>
      <c r="C21" s="44">
        <f>MAX(0,(C4*(C16-C5))/10)</f>
        <v/>
      </c>
      <c r="D21" s="39">
        <f>C12</f>
        <v/>
      </c>
      <c r="E21" s="45">
        <f>C21*(100/D21)</f>
        <v/>
      </c>
      <c r="F21" s="26" t="inlineStr">
        <is>
          <t>Alta</t>
        </is>
      </c>
      <c r="J21" s="43" t="inlineStr">
        <is>
          <t>Pastagem Panicum</t>
        </is>
      </c>
      <c r="K21" s="43" t="n">
        <v>55</v>
      </c>
    </row>
    <row r="22">
      <c r="B22" s="31" t="inlineStr">
        <is>
          <t>Método de neutralização do Alumínio tóxico (Kamprath)</t>
        </is>
      </c>
      <c r="C22" s="44">
        <f>(C6/10)*2</f>
        <v/>
      </c>
      <c r="D22" s="39">
        <f>C12</f>
        <v/>
      </c>
      <c r="E22" s="45">
        <f>C22*(100/D22)</f>
        <v/>
      </c>
      <c r="F22" s="26" t="inlineStr">
        <is>
          <t>Média</t>
        </is>
      </c>
      <c r="J22" s="43" t="inlineStr">
        <is>
          <t>Pastagem Brachiaria</t>
        </is>
      </c>
      <c r="K22" s="43" t="n">
        <v>50</v>
      </c>
    </row>
    <row r="23">
      <c r="B23" s="31" t="inlineStr">
        <is>
          <t>Método da neutralização do Al³⁺ + elevação de Ca²⁺ e Mg²⁺ (Cerrado)</t>
        </is>
      </c>
      <c r="C23" s="44">
        <f>(C6/10)*2+MAX(0,2-((C7+C8)/10))</f>
        <v/>
      </c>
      <c r="D23" s="39">
        <f>C12</f>
        <v/>
      </c>
      <c r="E23" s="45">
        <f>C23*(100/D23)</f>
        <v/>
      </c>
      <c r="F23" s="26" t="inlineStr">
        <is>
          <t>Alta</t>
        </is>
      </c>
    </row>
    <row r="24">
      <c r="J24" s="40" t="inlineStr">
        <is>
          <t>UF</t>
        </is>
      </c>
      <c r="K24" s="40" t="inlineStr">
        <is>
          <t>Bioma predominante Cerrado?</t>
        </is>
      </c>
    </row>
    <row r="25" ht="20" customHeight="1">
      <c r="B25" s="4" t="inlineStr">
        <is>
          <t>3. Escolha automática e recomendação final</t>
        </is>
      </c>
      <c r="J25" s="43" t="inlineStr">
        <is>
          <t>AC</t>
        </is>
      </c>
      <c r="K25" s="43" t="inlineStr">
        <is>
          <t>Não</t>
        </is>
      </c>
    </row>
    <row r="26">
      <c r="B26" s="41" t="inlineStr">
        <is>
          <t>Método recomendado</t>
        </is>
      </c>
      <c r="C26" s="46">
        <f>IF(C17="Sim","Método da neutralização do Al³⁺ + elevação de Ca²⁺ e Mg²⁺ (Cerrado)","Método da saturação por bases")</f>
        <v/>
      </c>
      <c r="J26" s="43" t="inlineStr">
        <is>
          <t>AL</t>
        </is>
      </c>
      <c r="K26" s="43" t="inlineStr">
        <is>
          <t>Não</t>
        </is>
      </c>
    </row>
    <row r="27">
      <c r="B27" s="41" t="inlineStr">
        <is>
          <t>NC final corrigida pelo PRNT (t/ha)</t>
        </is>
      </c>
      <c r="C27" s="47">
        <f>IF(C17="Sim",E23,E21)</f>
        <v/>
      </c>
      <c r="J27" s="43" t="inlineStr">
        <is>
          <t>AP</t>
        </is>
      </c>
      <c r="K27" s="43" t="inlineStr">
        <is>
          <t>Não</t>
        </is>
      </c>
    </row>
    <row r="28">
      <c r="B28" s="41" t="inlineStr">
        <is>
          <t>Quantidade total para a área (t)</t>
        </is>
      </c>
      <c r="C28" s="48">
        <f>C27*'Dados de Entrada'!C7</f>
        <v/>
      </c>
      <c r="J28" s="43" t="inlineStr">
        <is>
          <t>AM</t>
        </is>
      </c>
      <c r="K28" s="43" t="inlineStr">
        <is>
          <t>Não</t>
        </is>
      </c>
    </row>
    <row r="29">
      <c r="B29" s="11" t="inlineStr">
        <is>
          <t>Parcelamento sugerido</t>
        </is>
      </c>
      <c r="C29" s="6">
        <f>IF(C27&gt;5,"Aplicar em 2 vezes (metade agora incorporada, metade na safra seguinte) - dose elevada",IF(C27=0,"Sem necessidade de calagem","Aplicação única, incorporada"))</f>
        <v/>
      </c>
      <c r="J29" s="43" t="inlineStr">
        <is>
          <t>BA</t>
        </is>
      </c>
      <c r="K29" s="43" t="inlineStr">
        <is>
          <t>Sim</t>
        </is>
      </c>
    </row>
    <row r="30">
      <c r="B30" s="11" t="inlineStr">
        <is>
          <t>Justificativa técnica</t>
        </is>
      </c>
      <c r="C30" s="30">
        <f>IF(C17="Sim","Estado de Cerrado típico: prioriza-se o método de neutralização do Al³⁺ e elevação de Ca+Mg (Sousa &amp; Lobato, 2004), adequado a Latossolos/Oxissolos com CTC baixa e Al tóxico.","Fora do Cerrado típico: prioriza-se o método da saturação por bases (Raij et al., Boletim 100), tradicionalmente usado em SP/MG/ES para culturas anuais.")</f>
        <v/>
      </c>
      <c r="J30" s="43" t="inlineStr">
        <is>
          <t>CE</t>
        </is>
      </c>
      <c r="K30" s="43" t="inlineStr">
        <is>
          <t>Não</t>
        </is>
      </c>
    </row>
    <row r="31">
      <c r="J31" s="43" t="inlineStr">
        <is>
          <t>DF</t>
        </is>
      </c>
      <c r="K31" s="43" t="inlineStr">
        <is>
          <t>Sim</t>
        </is>
      </c>
    </row>
    <row r="32">
      <c r="J32" s="43" t="inlineStr">
        <is>
          <t>ES</t>
        </is>
      </c>
      <c r="K32" s="43" t="inlineStr">
        <is>
          <t>Não</t>
        </is>
      </c>
    </row>
    <row r="33">
      <c r="J33" s="43" t="inlineStr">
        <is>
          <t>GO</t>
        </is>
      </c>
      <c r="K33" s="43" t="inlineStr">
        <is>
          <t>Sim</t>
        </is>
      </c>
    </row>
    <row r="34">
      <c r="B34" s="11" t="inlineStr">
        <is>
          <t>Nível de confiança da recomendação final</t>
        </is>
      </c>
      <c r="C34" s="30">
        <f>IF(C17="Sim","Alta (fórmula e critério de aplicação confirmados - Sousa &amp; Lobato, 2004)","Alta (fórmula confirmada - Raij et al., Boletim 100, 1997)")</f>
        <v/>
      </c>
      <c r="J34" s="43" t="inlineStr">
        <is>
          <t>MA</t>
        </is>
      </c>
      <c r="K34" s="43" t="inlineStr">
        <is>
          <t>Sim</t>
        </is>
      </c>
    </row>
    <row r="35">
      <c r="J35" s="43" t="inlineStr">
        <is>
          <t>MT</t>
        </is>
      </c>
      <c r="K35" s="43" t="inlineStr">
        <is>
          <t>Sim</t>
        </is>
      </c>
    </row>
    <row r="36">
      <c r="B36" s="30" t="inlineStr">
        <is>
          <t>Os 3 métodos são sempre calculados e exibidos (transparência total). A escolha automática segue a convenção regional consolidada na literatura agronômica brasileira; o técnico responsável pode adotar outro método manualmente, se justificado pelas condições locais.</t>
        </is>
      </c>
      <c r="J36" s="43" t="inlineStr">
        <is>
          <t>MS</t>
        </is>
      </c>
      <c r="K36" s="43" t="inlineStr">
        <is>
          <t>Sim</t>
        </is>
      </c>
    </row>
    <row r="37">
      <c r="J37" s="43" t="inlineStr">
        <is>
          <t>MG</t>
        </is>
      </c>
      <c r="K37" s="43" t="inlineStr">
        <is>
          <t>Não</t>
        </is>
      </c>
    </row>
    <row r="38">
      <c r="J38" s="43" t="inlineStr">
        <is>
          <t>PA</t>
        </is>
      </c>
      <c r="K38" s="43" t="inlineStr">
        <is>
          <t>Sim</t>
        </is>
      </c>
    </row>
    <row r="39">
      <c r="J39" s="43" t="inlineStr">
        <is>
          <t>PB</t>
        </is>
      </c>
      <c r="K39" s="43" t="inlineStr">
        <is>
          <t>Não</t>
        </is>
      </c>
    </row>
    <row r="40">
      <c r="J40" s="43" t="inlineStr">
        <is>
          <t>PR</t>
        </is>
      </c>
      <c r="K40" s="43" t="inlineStr">
        <is>
          <t>Não</t>
        </is>
      </c>
    </row>
    <row r="41">
      <c r="J41" s="43" t="inlineStr">
        <is>
          <t>PE</t>
        </is>
      </c>
      <c r="K41" s="43" t="inlineStr">
        <is>
          <t>Não</t>
        </is>
      </c>
    </row>
    <row r="42">
      <c r="J42" s="43" t="inlineStr">
        <is>
          <t>PI</t>
        </is>
      </c>
      <c r="K42" s="43" t="inlineStr">
        <is>
          <t>Sim</t>
        </is>
      </c>
    </row>
    <row r="43">
      <c r="J43" s="43" t="inlineStr">
        <is>
          <t>RJ</t>
        </is>
      </c>
      <c r="K43" s="43" t="inlineStr">
        <is>
          <t>Não</t>
        </is>
      </c>
    </row>
    <row r="44">
      <c r="J44" s="43" t="inlineStr">
        <is>
          <t>RN</t>
        </is>
      </c>
      <c r="K44" s="43" t="inlineStr">
        <is>
          <t>Não</t>
        </is>
      </c>
    </row>
    <row r="45">
      <c r="J45" s="43" t="inlineStr">
        <is>
          <t>RS</t>
        </is>
      </c>
      <c r="K45" s="43" t="inlineStr">
        <is>
          <t>Não</t>
        </is>
      </c>
    </row>
    <row r="46">
      <c r="J46" s="43" t="inlineStr">
        <is>
          <t>RO</t>
        </is>
      </c>
      <c r="K46" s="43" t="inlineStr">
        <is>
          <t>Sim</t>
        </is>
      </c>
    </row>
    <row r="47">
      <c r="J47" s="43" t="inlineStr">
        <is>
          <t>RR</t>
        </is>
      </c>
      <c r="K47" s="43" t="inlineStr">
        <is>
          <t>Não</t>
        </is>
      </c>
    </row>
    <row r="48">
      <c r="J48" s="43" t="inlineStr">
        <is>
          <t>SC</t>
        </is>
      </c>
      <c r="K48" s="43" t="inlineStr">
        <is>
          <t>Não</t>
        </is>
      </c>
    </row>
    <row r="49">
      <c r="J49" s="43" t="inlineStr">
        <is>
          <t>SP</t>
        </is>
      </c>
      <c r="K49" s="43" t="inlineStr">
        <is>
          <t>Não</t>
        </is>
      </c>
    </row>
    <row r="50">
      <c r="J50" s="43" t="inlineStr">
        <is>
          <t>SE</t>
        </is>
      </c>
      <c r="K50" s="43" t="inlineStr">
        <is>
          <t>Não</t>
        </is>
      </c>
    </row>
    <row r="51">
      <c r="J51" s="43" t="inlineStr">
        <is>
          <t>TO</t>
        </is>
      </c>
      <c r="K51" s="43" t="inlineStr">
        <is>
          <t>Sim</t>
        </is>
      </c>
    </row>
  </sheetData>
  <mergeCells count="9">
    <mergeCell ref="C30:F32"/>
    <mergeCell ref="B25:F25"/>
    <mergeCell ref="C34:F34"/>
    <mergeCell ref="B19:F19"/>
    <mergeCell ref="C29:F29"/>
    <mergeCell ref="C26:E26"/>
    <mergeCell ref="B36:F38"/>
    <mergeCell ref="B3:E3"/>
    <mergeCell ref="B1:F1"/>
  </mergeCells>
  <dataValidations count="2">
    <dataValidation sqref="C12" showDropDown="0" showInputMessage="0" showErrorMessage="1" allowBlank="1" errorTitle="PRNT inválido" error="PRNT deve estar entre 0 e 100%." type="decimal" operator="between">
      <formula1>0</formula1>
      <formula2>100</formula2>
    </dataValidation>
    <dataValidation sqref="C13" showDropDown="0" showInputMessage="0" showErrorMessage="1" allowBlank="1" errorTitle="V2 inválido" error="Saturação por bases desejada (V2) deve estar entre 0 e 100%." type="decimal" operator="between">
      <formula1>0</formula1>
      <formula2>100</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E32"/>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6" customWidth="1" min="2" max="2"/>
    <col width="16" customWidth="1" min="3" max="3"/>
    <col width="3" customWidth="1" min="4" max="4"/>
    <col width="55" customWidth="1" min="5" max="5"/>
  </cols>
  <sheetData>
    <row r="1" ht="28" customHeight="1">
      <c r="B1" s="1" t="inlineStr">
        <is>
          <t>GESSAGEM — Necessidade de Gesso Agrícola</t>
        </is>
      </c>
    </row>
    <row r="3" ht="20" customHeight="1">
      <c r="B3" s="4" t="inlineStr">
        <is>
          <t>1. Parâmetros de entrada</t>
        </is>
      </c>
    </row>
    <row r="4">
      <c r="B4" s="11" t="inlineStr">
        <is>
          <t>Teor de argila (%)</t>
        </is>
      </c>
      <c r="C4" s="37">
        <f>'Dados de Entrada'!C18</f>
        <v/>
      </c>
    </row>
    <row r="5">
      <c r="B5" s="11" t="inlineStr">
        <is>
          <t>Saturação por Alumínio m% - camada amostrada</t>
        </is>
      </c>
      <c r="C5" s="37">
        <f>'Dados de Entrada'!C46</f>
        <v/>
      </c>
    </row>
    <row r="6">
      <c r="B6" s="11" t="inlineStr">
        <is>
          <t>Cálcio (Ca²⁺, mmolc/dm³) - camada amostrada</t>
        </is>
      </c>
      <c r="C6" s="32">
        <f>'Dados de Entrada'!E28</f>
        <v/>
      </c>
    </row>
    <row r="7">
      <c r="B7" s="11" t="inlineStr">
        <is>
          <t>Cultura</t>
        </is>
      </c>
      <c r="C7" s="38">
        <f>'Dados de Entrada'!C8</f>
        <v/>
      </c>
    </row>
    <row r="8">
      <c r="B8" s="11" t="inlineStr">
        <is>
          <t>m% na camada 20-40 cm (opcional, se disponível)</t>
        </is>
      </c>
      <c r="C8" s="18" t="n"/>
    </row>
    <row r="9">
      <c r="B9" s="11" t="inlineStr">
        <is>
          <t>Ca²⁺ na camada 20-40 cm, mmolc/dm³ (opcional, se disponível)</t>
        </is>
      </c>
      <c r="C9" s="18" t="n"/>
    </row>
    <row r="11" ht="20" customHeight="1">
      <c r="B11" s="4" t="inlineStr">
        <is>
          <t>2. Critério técnico de recomendação</t>
        </is>
      </c>
    </row>
    <row r="12">
      <c r="B12" s="11" t="inlineStr">
        <is>
          <t>m% efetivo considerado</t>
        </is>
      </c>
      <c r="C12" s="49">
        <f>IF(C8="",C5,C8)</f>
        <v/>
      </c>
    </row>
    <row r="13">
      <c r="B13" s="11" t="inlineStr">
        <is>
          <t>Ca²⁺ efetivo considerado (mmolc/dm³)</t>
        </is>
      </c>
      <c r="C13" s="44">
        <f>IF(C9="",C6,C9)</f>
        <v/>
      </c>
    </row>
    <row r="14">
      <c r="B14" s="11" t="inlineStr">
        <is>
          <t>Camada usada no critério</t>
        </is>
      </c>
      <c r="C14" s="43">
        <f>IF(AND(C8="",C9=""),"Camada amostrada (aproximação)","20-40 cm (informada)")</f>
        <v/>
      </c>
    </row>
    <row r="15">
      <c r="B15" s="41" t="inlineStr">
        <is>
          <t>Recomenda-se gesso?</t>
        </is>
      </c>
      <c r="C15" s="50">
        <f>IF(OR(C12&gt;20,C13&lt;5),"Sim","Não")</f>
        <v/>
      </c>
    </row>
    <row r="16">
      <c r="B16" s="11" t="inlineStr">
        <is>
          <t>Critério atendido</t>
        </is>
      </c>
      <c r="C16" s="30">
        <f>IF(C15="Não","Nenhum critério de gessagem atendido",_xlfn.TEXTJOIN("; ",TRUE,IF(C12&gt;20,"m% &gt; 20%",""),IF(C13&lt;5,"Ca²⁺ &lt; 0,5 cmolc/dm³ (5 mmolc/dm³)","")))</f>
        <v/>
      </c>
    </row>
    <row r="18" ht="20" customHeight="1">
      <c r="B18" s="4" t="inlineStr">
        <is>
          <t>3. Dose de gesso agrícola</t>
        </is>
      </c>
    </row>
    <row r="19">
      <c r="B19" s="11" t="inlineStr">
        <is>
          <t>Cultura perene (fator 75) ou anual (fator 50)?</t>
        </is>
      </c>
      <c r="C19" s="31">
        <f>IF(OR(C7="Cana-de-açúcar",C7="Pastagem Panicum",C7="Pastagem Brachiaria"),"Perene (75)","Anual (50)")</f>
        <v/>
      </c>
    </row>
    <row r="20">
      <c r="B20" s="41" t="inlineStr">
        <is>
          <t>Dose de gesso agrícola (kg/ha)</t>
        </is>
      </c>
      <c r="C20" s="51">
        <f>IF(C15="Não",0,IF(C19="Perene (75)",75,50)*C4)</f>
        <v/>
      </c>
    </row>
    <row r="21">
      <c r="B21" s="41" t="inlineStr">
        <is>
          <t>Dose total para a área (t)</t>
        </is>
      </c>
      <c r="C21" s="48">
        <f>C20/1000*'Dados de Entrada'!C7</f>
        <v/>
      </c>
    </row>
    <row r="22">
      <c r="B22" s="11" t="inlineStr">
        <is>
          <t>Enxofre suprido pelo gesso (kg S/ha)</t>
        </is>
      </c>
      <c r="C22" s="52">
        <f>C20*0.15</f>
        <v/>
      </c>
    </row>
    <row r="23">
      <c r="B23" s="11" t="inlineStr">
        <is>
          <t>Cálcio suprido pelo gesso (kg Ca/ha)</t>
        </is>
      </c>
      <c r="C23" s="52">
        <f>C20*0.16</f>
        <v/>
      </c>
    </row>
    <row r="24">
      <c r="B24" s="11" t="inlineStr">
        <is>
          <t>Recomendação de parcelamento/logística</t>
        </is>
      </c>
      <c r="C24" s="30">
        <f>IF(C20=0,"Sem necessidade de gesso",IF(C20&gt;2000,"Dose elevada - avaliar parcelamento em 2 aplicações e revisão técnica em campo","Aplicação única, a lanço, sem incorporação obrigatória"))</f>
        <v/>
      </c>
    </row>
    <row r="26" ht="20" customHeight="1">
      <c r="B26" s="4" t="inlineStr">
        <is>
          <t>4. Fonte, confiança e limitações</t>
        </is>
      </c>
    </row>
    <row r="27">
      <c r="B27" s="30" t="inlineStr">
        <is>
          <t>Fórmula e critério: Sousa, D.M.G.; Lobato, E. Uso de Gesso Agrícola nos Solos do Cerrado. Circular Técnica 32, Embrapa Cerrados, 2004/2005.
Confiança: Alta (fórmula e critério qualitativo); Média (limiar exato de Ca subsuperficial, que varia entre 0,2-0,5 cmolc/dm³ conforme a fonte secundária consultada).
Limitação: o valor de referência de 2.000 kg/ha acima não é um teto normativo confirmado na literatura consultada (não localizado em fonte primária) - trata-se de um alerta operacional prudente, não de uma regra agronômica rígida. Idealmente a avaliação usa amostra da camada 20-40 cm; nesta versão, a ausência dessa amostra é sinalizada e a camada disponível é usada como aproximação.</t>
        </is>
      </c>
    </row>
    <row r="28"/>
    <row r="29"/>
    <row r="30"/>
    <row r="31"/>
    <row r="32"/>
  </sheetData>
  <mergeCells count="9">
    <mergeCell ref="C16:E16"/>
    <mergeCell ref="B26:E26"/>
    <mergeCell ref="B18:E18"/>
    <mergeCell ref="C14:E14"/>
    <mergeCell ref="B1:E1"/>
    <mergeCell ref="B27:E32"/>
    <mergeCell ref="B11:E11"/>
    <mergeCell ref="B3:E3"/>
    <mergeCell ref="C24:E2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47"/>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0"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55" customWidth="1" min="17" max="17"/>
    <col width="16" customWidth="1" min="18" max="18"/>
  </cols>
  <sheetData>
    <row r="1" ht="28" customHeight="1">
      <c r="B1" s="1" t="inlineStr">
        <is>
          <t>BANCO DE DADOS DE CULTURAS — Extração, Exportação e Curvas de Resposta</t>
        </is>
      </c>
    </row>
    <row r="3" ht="28" customHeight="1">
      <c r="B3" s="30" t="inlineStr">
        <is>
          <t>Tabela editável. Soja e Milho possuem também extração total (não só exportação pelo grão), usada na aba de cada cultura para estimar o retorno de nutrientes via palhada/resíduo. Fonte e confiança por cultura na coluna Q/R.</t>
        </is>
      </c>
    </row>
    <row r="5">
      <c r="B5" s="7" t="inlineStr">
        <is>
          <t>Cultura</t>
        </is>
      </c>
      <c r="C5" s="7" t="inlineStr">
        <is>
          <t>Unid. produtividade</t>
        </is>
      </c>
      <c r="D5" s="7" t="inlineStr">
        <is>
          <t>kg/unid.</t>
        </is>
      </c>
      <c r="E5" s="7" t="inlineStr">
        <is>
          <t>V% alvo</t>
        </is>
      </c>
      <c r="F5" s="7" t="inlineStr">
        <is>
          <t>Exp. N (kg/t)</t>
        </is>
      </c>
      <c r="G5" s="7" t="inlineStr">
        <is>
          <t>Exp. P2O5 (kg/t)</t>
        </is>
      </c>
      <c r="H5" s="7" t="inlineStr">
        <is>
          <t>Exp. K2O (kg/t)</t>
        </is>
      </c>
      <c r="I5" s="7" t="inlineStr">
        <is>
          <t>Exp. S (kg/t)</t>
        </is>
      </c>
      <c r="J5" s="7" t="inlineStr">
        <is>
          <t>Exp. Ca (kg/t)</t>
        </is>
      </c>
      <c r="K5" s="7" t="inlineStr">
        <is>
          <t>Exp. Mg (kg/t)</t>
        </is>
      </c>
      <c r="L5" s="7" t="inlineStr">
        <is>
          <t>Exp. B (kg/t)</t>
        </is>
      </c>
      <c r="M5" s="7" t="inlineStr">
        <is>
          <t>Exp. Zn (kg/t)</t>
        </is>
      </c>
      <c r="N5" s="7" t="inlineStr">
        <is>
          <t>Exp. Cu (kg/t)</t>
        </is>
      </c>
      <c r="O5" s="7" t="inlineStr">
        <is>
          <t>Exp. Mn (kg/t)</t>
        </is>
      </c>
      <c r="P5" s="7" t="inlineStr">
        <is>
          <t>Extr. N total (kg/t)</t>
        </is>
      </c>
      <c r="Q5" s="7" t="inlineStr">
        <is>
          <t>Extr. P2O5 total (kg/t)</t>
        </is>
      </c>
      <c r="R5" s="7" t="inlineStr">
        <is>
          <t>Extr. K2O total (kg/t)</t>
        </is>
      </c>
      <c r="S5" s="7" t="inlineStr">
        <is>
          <t>Fonte</t>
        </is>
      </c>
      <c r="T5" s="7" t="inlineStr">
        <is>
          <t>Confiança</t>
        </is>
      </c>
    </row>
    <row r="6">
      <c r="B6" s="8" t="inlineStr">
        <is>
          <t>Soja</t>
        </is>
      </c>
      <c r="C6" s="31" t="inlineStr">
        <is>
          <t>sc/ha (60 kg)</t>
        </is>
      </c>
      <c r="D6" s="39" t="n">
        <v>60</v>
      </c>
      <c r="E6" s="39" t="n">
        <v>70</v>
      </c>
      <c r="F6" s="53" t="n">
        <v>50</v>
      </c>
      <c r="G6" s="53" t="n">
        <v>12</v>
      </c>
      <c r="H6" s="53" t="n">
        <v>20</v>
      </c>
      <c r="I6" s="53" t="n">
        <v>4</v>
      </c>
      <c r="J6" s="53" t="n">
        <v>3</v>
      </c>
      <c r="K6" s="53" t="n">
        <v>2.5</v>
      </c>
      <c r="L6" s="53" t="n">
        <v>0.02</v>
      </c>
      <c r="M6" s="53" t="n">
        <v>0.03</v>
      </c>
      <c r="N6" s="53" t="n">
        <v>0.008</v>
      </c>
      <c r="O6" s="53" t="n">
        <v>0.04</v>
      </c>
      <c r="P6" s="53" t="n">
        <v>80</v>
      </c>
      <c r="Q6" s="53" t="n">
        <v>16</v>
      </c>
      <c r="R6" s="53" t="n">
        <v>40</v>
      </c>
      <c r="S6" s="27" t="inlineStr">
        <is>
          <t>Sfredo, G.J. Soja no Brasil: calagem, adubação e nutrição mineral. Documentos 305, Embrapa Soja, 2008; valores consolidados também em Malavolta (2006) e boletins técnicos de manejo de fertilidade.</t>
        </is>
      </c>
      <c r="T6" s="27" t="inlineStr">
        <is>
          <t>Média (variação relevante relatada entre fontes, sobretudo para K em altas produtividades - efeito de diluição já discutido por Zanon et al. em curvas de resposta a potássio).</t>
        </is>
      </c>
    </row>
    <row r="7">
      <c r="B7" s="8" t="inlineStr">
        <is>
          <t>Milho</t>
        </is>
      </c>
      <c r="C7" s="31" t="inlineStr">
        <is>
          <t>sc/ha (60 kg)</t>
        </is>
      </c>
      <c r="D7" s="39" t="n">
        <v>60</v>
      </c>
      <c r="E7" s="39" t="n">
        <v>70</v>
      </c>
      <c r="F7" s="53" t="n">
        <v>14</v>
      </c>
      <c r="G7" s="53" t="n">
        <v>7</v>
      </c>
      <c r="H7" s="53" t="n">
        <v>4.5</v>
      </c>
      <c r="I7" s="53" t="n">
        <v>1.5</v>
      </c>
      <c r="J7" s="53" t="n">
        <v>0.5</v>
      </c>
      <c r="K7" s="53" t="n">
        <v>1.2</v>
      </c>
      <c r="L7" s="53" t="n">
        <v>0.006</v>
      </c>
      <c r="M7" s="53" t="n">
        <v>0.015</v>
      </c>
      <c r="N7" s="53" t="n">
        <v>0.004</v>
      </c>
      <c r="O7" s="53" t="n">
        <v>0.025</v>
      </c>
      <c r="P7" s="53" t="n">
        <v>22</v>
      </c>
      <c r="Q7" s="53" t="n">
        <v>9</v>
      </c>
      <c r="R7" s="53" t="n">
        <v>20</v>
      </c>
      <c r="S7" s="27" t="inlineStr">
        <is>
          <t>Coelho, A.M. Nutrição e Adubação do Milho. Circular Técnica 78, Embrapa Milho e Sorgo, 2006 (valores 'clássicos' de exportação pelo grão).</t>
        </is>
      </c>
      <c r="T7" s="27" t="inlineStr">
        <is>
          <t>Média (circulares mais recentes revisam alguns coeficientes; verificar se tratam de grão isolado ou planta inteira/silagem antes de adotar valores diferentes).</t>
        </is>
      </c>
    </row>
    <row r="8">
      <c r="B8" s="8" t="inlineStr">
        <is>
          <t>Sorgo</t>
        </is>
      </c>
      <c r="C8" s="31" t="inlineStr">
        <is>
          <t>sc/ha (60 kg)</t>
        </is>
      </c>
      <c r="D8" s="39" t="n">
        <v>60</v>
      </c>
      <c r="E8" s="39" t="n">
        <v>60</v>
      </c>
      <c r="F8" s="53" t="n">
        <v>18</v>
      </c>
      <c r="G8" s="53" t="n">
        <v>7</v>
      </c>
      <c r="H8" s="53" t="n">
        <v>6</v>
      </c>
      <c r="I8" s="53" t="n">
        <v>1.8</v>
      </c>
      <c r="J8" s="53" t="n">
        <v>0.6</v>
      </c>
      <c r="K8" s="53" t="n">
        <v>1.3</v>
      </c>
      <c r="L8" s="53" t="n">
        <v>0</v>
      </c>
      <c r="M8" s="53" t="n">
        <v>0</v>
      </c>
      <c r="N8" s="53" t="n">
        <v>0</v>
      </c>
      <c r="O8" s="53" t="n">
        <v>0</v>
      </c>
      <c r="P8" s="31" t="inlineStr"/>
      <c r="Q8" s="31" t="inlineStr"/>
      <c r="R8" s="31" t="inlineStr"/>
      <c r="S8" s="27" t="inlineStr">
        <is>
          <t>Valores de referência consolidados na prática agronômica (perfil nutricional próximo ao do milho, cultura de mesma família); ajustar com boletim regional (Embrapa Milho e Sorgo) quando disponível.</t>
        </is>
      </c>
      <c r="T8" s="27" t="inlineStr">
        <is>
          <t>Baixa-Média</t>
        </is>
      </c>
    </row>
    <row r="9">
      <c r="B9" s="8" t="inlineStr">
        <is>
          <t>Feijão</t>
        </is>
      </c>
      <c r="C9" s="31" t="inlineStr">
        <is>
          <t>sc/ha (60 kg)</t>
        </is>
      </c>
      <c r="D9" s="39" t="n">
        <v>60</v>
      </c>
      <c r="E9" s="39" t="n">
        <v>70</v>
      </c>
      <c r="F9" s="53" t="n">
        <v>45</v>
      </c>
      <c r="G9" s="53" t="n">
        <v>12</v>
      </c>
      <c r="H9" s="53" t="n">
        <v>25</v>
      </c>
      <c r="I9" s="53" t="n">
        <v>3</v>
      </c>
      <c r="J9" s="53" t="n">
        <v>3</v>
      </c>
      <c r="K9" s="53" t="n">
        <v>3</v>
      </c>
      <c r="L9" s="53" t="n">
        <v>0</v>
      </c>
      <c r="M9" s="53" t="n">
        <v>0</v>
      </c>
      <c r="N9" s="53" t="n">
        <v>0</v>
      </c>
      <c r="O9" s="53" t="n">
        <v>0</v>
      </c>
      <c r="P9" s="31" t="inlineStr"/>
      <c r="Q9" s="31" t="inlineStr"/>
      <c r="R9" s="31" t="inlineStr"/>
      <c r="S9" s="27" t="inlineStr">
        <is>
          <t>Valores de referência consolidados na prática agronômica brasileira (perfil leguminosa, próximo à soja em proporção, porém com ciclo mais curto e menor fixação biológica líquida). Ajustar com boletim regional (IAC/Embrapa Arroz e Feijão) quando disponível.</t>
        </is>
      </c>
      <c r="T9" s="27" t="inlineStr">
        <is>
          <t>Baixa-Média</t>
        </is>
      </c>
    </row>
    <row r="10">
      <c r="B10" s="8" t="inlineStr">
        <is>
          <t>Cana-de-açúcar</t>
        </is>
      </c>
      <c r="C10" s="31" t="inlineStr">
        <is>
          <t>t/ha</t>
        </is>
      </c>
      <c r="D10" s="39" t="n">
        <v>1000</v>
      </c>
      <c r="E10" s="39" t="n">
        <v>60</v>
      </c>
      <c r="F10" s="53" t="n">
        <v>1</v>
      </c>
      <c r="G10" s="53" t="n">
        <v>0.6</v>
      </c>
      <c r="H10" s="53" t="n">
        <v>1.7</v>
      </c>
      <c r="I10" s="53" t="n">
        <v>0.5</v>
      </c>
      <c r="J10" s="53" t="n">
        <v>0.5</v>
      </c>
      <c r="K10" s="53" t="n">
        <v>0.4</v>
      </c>
      <c r="L10" s="53" t="n">
        <v>0</v>
      </c>
      <c r="M10" s="53" t="n">
        <v>0</v>
      </c>
      <c r="N10" s="53" t="n">
        <v>0</v>
      </c>
      <c r="O10" s="53" t="n">
        <v>0</v>
      </c>
      <c r="P10" s="31" t="inlineStr"/>
      <c r="Q10" s="31" t="inlineStr"/>
      <c r="R10" s="31" t="inlineStr"/>
      <c r="S10" s="27" t="inlineStr">
        <is>
          <t>Valores de referência consolidados na prática agronômica (exportação por tonelada de colmo); ajustar com Boletim 200/Fundação MT ou boletim regional do setor sucroenergético quando disponível.</t>
        </is>
      </c>
      <c r="T10" s="27" t="inlineStr">
        <is>
          <t>Baixa-Média</t>
        </is>
      </c>
    </row>
    <row r="11">
      <c r="B11" s="8" t="inlineStr">
        <is>
          <t>Pastagem Panicum</t>
        </is>
      </c>
      <c r="C11" s="31" t="inlineStr">
        <is>
          <t>t MS/ha</t>
        </is>
      </c>
      <c r="D11" s="39" t="n">
        <v>1000</v>
      </c>
      <c r="E11" s="39" t="n">
        <v>50</v>
      </c>
      <c r="F11" s="53" t="n">
        <v>15</v>
      </c>
      <c r="G11" s="53" t="n">
        <v>4</v>
      </c>
      <c r="H11" s="53" t="n">
        <v>18</v>
      </c>
      <c r="I11" s="53" t="n">
        <v>1.5</v>
      </c>
      <c r="J11" s="53" t="n">
        <v>3</v>
      </c>
      <c r="K11" s="53" t="n">
        <v>2</v>
      </c>
      <c r="L11" s="53" t="n">
        <v>0</v>
      </c>
      <c r="M11" s="53" t="n">
        <v>0</v>
      </c>
      <c r="N11" s="53" t="n">
        <v>0</v>
      </c>
      <c r="O11" s="53" t="n">
        <v>0</v>
      </c>
      <c r="P11" s="31" t="inlineStr"/>
      <c r="Q11" s="31" t="inlineStr"/>
      <c r="R11" s="31" t="inlineStr"/>
      <c r="S11" s="27" t="inlineStr">
        <is>
          <t>Valores de referência consolidados na prática agronômica para exportação por tonelada de matéria seca em pastagens tropicais (Panicum maximum); ajustar com boletim regional (Embrapa Gado de Corte) quando disponível.</t>
        </is>
      </c>
      <c r="T11" s="27" t="inlineStr">
        <is>
          <t>Baixa-Média</t>
        </is>
      </c>
    </row>
    <row r="12">
      <c r="B12" s="8" t="inlineStr">
        <is>
          <t>Pastagem Brachiaria</t>
        </is>
      </c>
      <c r="C12" s="31" t="inlineStr">
        <is>
          <t>t MS/ha</t>
        </is>
      </c>
      <c r="D12" s="39" t="n">
        <v>1000</v>
      </c>
      <c r="E12" s="39" t="n">
        <v>50</v>
      </c>
      <c r="F12" s="53" t="n">
        <v>13</v>
      </c>
      <c r="G12" s="53" t="n">
        <v>3.5</v>
      </c>
      <c r="H12" s="53" t="n">
        <v>15</v>
      </c>
      <c r="I12" s="53" t="n">
        <v>1.3</v>
      </c>
      <c r="J12" s="53" t="n">
        <v>2.5</v>
      </c>
      <c r="K12" s="53" t="n">
        <v>1.8</v>
      </c>
      <c r="L12" s="53" t="n">
        <v>0</v>
      </c>
      <c r="M12" s="53" t="n">
        <v>0</v>
      </c>
      <c r="N12" s="53" t="n">
        <v>0</v>
      </c>
      <c r="O12" s="53" t="n">
        <v>0</v>
      </c>
      <c r="P12" s="31" t="inlineStr"/>
      <c r="Q12" s="31" t="inlineStr"/>
      <c r="R12" s="31" t="inlineStr"/>
      <c r="S12" s="27" t="inlineStr">
        <is>
          <t>Valores de referência consolidados na prática agronômica para exportação por tonelada de matéria seca em pastagens tropicais (Brachiaria/Urochloa spp.); ajustar com boletim regional (Embrapa Gado de Corte) quando disponível.</t>
        </is>
      </c>
      <c r="T12" s="27" t="inlineStr">
        <is>
          <t>Baixa-Média</t>
        </is>
      </c>
    </row>
    <row r="14" ht="20" customHeight="1">
      <c r="B14" s="4" t="inlineStr">
        <is>
          <t>Fatores de eficiência de aproveitamento e ajuste por classe de fertilidade (modelo transparente)</t>
        </is>
      </c>
    </row>
    <row r="15">
      <c r="B15" s="30" t="inlineStr">
        <is>
          <t>A recomendação de P e K desta planilha NÃO usa uma tabela fixa de doses. Ela calcula: dose de manutenção = (exportação pela produtividade meta) / (eficiência de aproveitamento do fertilizante, que depende da textura do solo) - e então aplica um fator de ajuste conforme a classe de fertilidade atual do solo (constrói fertilidade em solos pobres, reduz em solos já ricos). Isso integra análise de solo, textura, produtividade e exportação em vez de uma tabela estática. Os fatores abaixo são premissas explícitas e editáveis - não substituem curvas de resposta calibradas localmente.</t>
        </is>
      </c>
    </row>
    <row r="16"/>
    <row r="17"/>
    <row r="19">
      <c r="B19" s="7" t="inlineStr">
        <is>
          <t>Textura</t>
        </is>
      </c>
      <c r="C19" s="7" t="inlineStr">
        <is>
          <t>Eficiência P (%)</t>
        </is>
      </c>
      <c r="D19" s="7" t="inlineStr">
        <is>
          <t>Eficiência K (%)</t>
        </is>
      </c>
    </row>
    <row r="20">
      <c r="B20" s="26" t="inlineStr">
        <is>
          <t>Arenoso (&lt; 15% argila)</t>
        </is>
      </c>
      <c r="C20" s="54" t="n">
        <v>0.35</v>
      </c>
      <c r="D20" s="54" t="n">
        <v>0.55</v>
      </c>
    </row>
    <row r="21">
      <c r="B21" s="26" t="inlineStr">
        <is>
          <t>Textura média (15-35% argila)</t>
        </is>
      </c>
      <c r="C21" s="54" t="n">
        <v>0.25</v>
      </c>
      <c r="D21" s="54" t="n">
        <v>0.65</v>
      </c>
    </row>
    <row r="22">
      <c r="B22" s="26" t="inlineStr">
        <is>
          <t>Argiloso (&gt; 35% argila)</t>
        </is>
      </c>
      <c r="C22" s="54" t="n">
        <v>0.15</v>
      </c>
      <c r="D22" s="54" t="n">
        <v>0.75</v>
      </c>
    </row>
    <row r="24">
      <c r="B24" s="7" t="inlineStr">
        <is>
          <t>Classe de fertilidade</t>
        </is>
      </c>
      <c r="C24" s="7" t="inlineStr">
        <is>
          <t>Fator de ajuste P/K (construção-manutenção-redução)</t>
        </is>
      </c>
    </row>
    <row r="25">
      <c r="B25" s="26" t="inlineStr">
        <is>
          <t>Muito baixo</t>
        </is>
      </c>
      <c r="C25" s="26" t="n">
        <v>2</v>
      </c>
    </row>
    <row r="26">
      <c r="B26" s="26" t="inlineStr">
        <is>
          <t>Baixo</t>
        </is>
      </c>
      <c r="C26" s="26" t="n">
        <v>1.5</v>
      </c>
    </row>
    <row r="27">
      <c r="B27" s="26" t="inlineStr">
        <is>
          <t>Médio</t>
        </is>
      </c>
      <c r="C27" s="26" t="n">
        <v>1.15</v>
      </c>
    </row>
    <row r="28">
      <c r="B28" s="26" t="inlineStr">
        <is>
          <t>Adequado</t>
        </is>
      </c>
      <c r="C28" s="26" t="n">
        <v>1</v>
      </c>
    </row>
    <row r="29">
      <c r="B29" s="26" t="inlineStr">
        <is>
          <t>Alto</t>
        </is>
      </c>
      <c r="C29" s="26" t="n">
        <v>0.7</v>
      </c>
    </row>
    <row r="30">
      <c r="B30" s="26" t="inlineStr">
        <is>
          <t>Muito alto</t>
        </is>
      </c>
      <c r="C30" s="26" t="n">
        <v>0.4</v>
      </c>
    </row>
    <row r="32">
      <c r="B32" s="7" t="inlineStr">
        <is>
          <t>Micronutriente</t>
        </is>
      </c>
      <c r="C32" s="7" t="inlineStr">
        <is>
          <t>Classe</t>
        </is>
      </c>
      <c r="D32" s="7" t="inlineStr">
        <is>
          <t>Dose sugerida via solo (kg/ha produto puro)</t>
        </is>
      </c>
      <c r="E32" s="7" t="inlineStr">
        <is>
          <t>Fonte/Confiança</t>
        </is>
      </c>
    </row>
    <row r="33">
      <c r="A33" s="36">
        <f>B33&amp;"|"&amp;C33</f>
        <v/>
      </c>
      <c r="B33" s="26" t="inlineStr">
        <is>
          <t>Zn</t>
        </is>
      </c>
      <c r="C33" s="26" t="inlineStr">
        <is>
          <t>Baixo</t>
        </is>
      </c>
      <c r="D33" s="26" t="n">
        <v>4</v>
      </c>
      <c r="E33" s="43" t="inlineStr">
        <is>
          <t>Boletim 100 (síntese secundária) - Confiança Média</t>
        </is>
      </c>
    </row>
    <row r="34">
      <c r="A34" s="36">
        <f>B34&amp;"|"&amp;C34</f>
        <v/>
      </c>
      <c r="B34" s="26" t="inlineStr">
        <is>
          <t>Zn</t>
        </is>
      </c>
      <c r="C34" s="26" t="inlineStr">
        <is>
          <t>Médio</t>
        </is>
      </c>
      <c r="D34" s="26" t="n">
        <v>2</v>
      </c>
      <c r="E34" s="43" t="inlineStr">
        <is>
          <t>Boletim 100 (síntese secundária) - Confiança Média</t>
        </is>
      </c>
    </row>
    <row r="35">
      <c r="A35" s="36">
        <f>B35&amp;"|"&amp;C35</f>
        <v/>
      </c>
      <c r="B35" s="26" t="inlineStr">
        <is>
          <t>Zn</t>
        </is>
      </c>
      <c r="C35" s="26" t="inlineStr">
        <is>
          <t>Alto</t>
        </is>
      </c>
      <c r="D35" s="26" t="n">
        <v>0</v>
      </c>
      <c r="E35" s="43" t="inlineStr">
        <is>
          <t>Sem necessidade</t>
        </is>
      </c>
    </row>
    <row r="36">
      <c r="A36" s="36">
        <f>B36&amp;"|"&amp;C36</f>
        <v/>
      </c>
      <c r="B36" s="26" t="inlineStr">
        <is>
          <t>B</t>
        </is>
      </c>
      <c r="C36" s="26" t="inlineStr">
        <is>
          <t>Baixo</t>
        </is>
      </c>
      <c r="D36" s="26" t="n">
        <v>1</v>
      </c>
      <c r="E36" s="43" t="inlineStr">
        <is>
          <t>Boletim 100 (síntese secundária) - Confiança Média</t>
        </is>
      </c>
    </row>
    <row r="37">
      <c r="A37" s="36">
        <f>B37&amp;"|"&amp;C37</f>
        <v/>
      </c>
      <c r="B37" s="26" t="inlineStr">
        <is>
          <t>B</t>
        </is>
      </c>
      <c r="C37" s="26" t="inlineStr">
        <is>
          <t>Médio</t>
        </is>
      </c>
      <c r="D37" s="26" t="n">
        <v>0.5</v>
      </c>
      <c r="E37" s="43" t="inlineStr">
        <is>
          <t>Estimativa de uso corrente - Confiança Baixa</t>
        </is>
      </c>
    </row>
    <row r="38">
      <c r="A38" s="36">
        <f>B38&amp;"|"&amp;C38</f>
        <v/>
      </c>
      <c r="B38" s="26" t="inlineStr">
        <is>
          <t>B</t>
        </is>
      </c>
      <c r="C38" s="26" t="inlineStr">
        <is>
          <t>Alto</t>
        </is>
      </c>
      <c r="D38" s="26" t="n">
        <v>0</v>
      </c>
      <c r="E38" s="43" t="inlineStr">
        <is>
          <t>Sem necessidade</t>
        </is>
      </c>
    </row>
    <row r="39">
      <c r="A39" s="36">
        <f>B39&amp;"|"&amp;C39</f>
        <v/>
      </c>
      <c r="B39" s="26" t="inlineStr">
        <is>
          <t>Cu</t>
        </is>
      </c>
      <c r="C39" s="26" t="inlineStr">
        <is>
          <t>Baixo</t>
        </is>
      </c>
      <c r="D39" s="26" t="n">
        <v>2</v>
      </c>
      <c r="E39" s="43" t="inlineStr">
        <is>
          <t>Estimativa de uso corrente - Confiança Baixa</t>
        </is>
      </c>
    </row>
    <row r="40">
      <c r="A40" s="36">
        <f>B40&amp;"|"&amp;C40</f>
        <v/>
      </c>
      <c r="B40" s="26" t="inlineStr">
        <is>
          <t>Cu</t>
        </is>
      </c>
      <c r="C40" s="26" t="inlineStr">
        <is>
          <t>Médio</t>
        </is>
      </c>
      <c r="D40" s="26" t="n">
        <v>1</v>
      </c>
      <c r="E40" s="43" t="inlineStr">
        <is>
          <t>Estimativa de uso corrente - Confiança Baixa</t>
        </is>
      </c>
    </row>
    <row r="41">
      <c r="A41" s="36">
        <f>B41&amp;"|"&amp;C41</f>
        <v/>
      </c>
      <c r="B41" s="26" t="inlineStr">
        <is>
          <t>Cu</t>
        </is>
      </c>
      <c r="C41" s="26" t="inlineStr">
        <is>
          <t>Alto</t>
        </is>
      </c>
      <c r="D41" s="26" t="n">
        <v>0</v>
      </c>
      <c r="E41" s="43" t="inlineStr">
        <is>
          <t>Sem necessidade</t>
        </is>
      </c>
    </row>
    <row r="42">
      <c r="A42" s="36">
        <f>B42&amp;"|"&amp;C42</f>
        <v/>
      </c>
      <c r="B42" s="26" t="inlineStr">
        <is>
          <t>Mn</t>
        </is>
      </c>
      <c r="C42" s="26" t="inlineStr">
        <is>
          <t>Baixo</t>
        </is>
      </c>
      <c r="D42" s="26" t="n">
        <v>3</v>
      </c>
      <c r="E42" s="43" t="inlineStr">
        <is>
          <t>Estimativa de uso corrente - Confiança Baixa (Mn frequentemente via foliar)</t>
        </is>
      </c>
    </row>
    <row r="43">
      <c r="A43" s="36">
        <f>B43&amp;"|"&amp;C43</f>
        <v/>
      </c>
      <c r="B43" s="26" t="inlineStr">
        <is>
          <t>Mn</t>
        </is>
      </c>
      <c r="C43" s="26" t="inlineStr">
        <is>
          <t>Médio</t>
        </is>
      </c>
      <c r="D43" s="26" t="n">
        <v>1.5</v>
      </c>
      <c r="E43" s="43" t="inlineStr">
        <is>
          <t>Estimativa de uso corrente - Confiança Baixa</t>
        </is>
      </c>
    </row>
    <row r="44">
      <c r="A44" s="36">
        <f>B44&amp;"|"&amp;C44</f>
        <v/>
      </c>
      <c r="B44" s="26" t="inlineStr">
        <is>
          <t>Mn</t>
        </is>
      </c>
      <c r="C44" s="26" t="inlineStr">
        <is>
          <t>Alto</t>
        </is>
      </c>
      <c r="D44" s="26" t="n">
        <v>0</v>
      </c>
      <c r="E44" s="43" t="inlineStr">
        <is>
          <t>Sem necessidade</t>
        </is>
      </c>
    </row>
    <row r="45">
      <c r="A45" s="36">
        <f>B45&amp;"|"&amp;C45</f>
        <v/>
      </c>
      <c r="B45" s="26" t="inlineStr">
        <is>
          <t>Mo</t>
        </is>
      </c>
      <c r="C45" s="26" t="inlineStr">
        <is>
          <t>Baixo</t>
        </is>
      </c>
      <c r="D45" s="26" t="n">
        <v>0.05</v>
      </c>
      <c r="E45" s="43" t="inlineStr">
        <is>
          <t>Aplicação usual via tratamento de sementes (g/ha) - Confiança Baixa</t>
        </is>
      </c>
    </row>
    <row r="46">
      <c r="A46" s="36">
        <f>B46&amp;"|"&amp;C46</f>
        <v/>
      </c>
      <c r="B46" s="26" t="inlineStr">
        <is>
          <t>Mo</t>
        </is>
      </c>
      <c r="C46" s="26" t="inlineStr">
        <is>
          <t>Médio</t>
        </is>
      </c>
      <c r="D46" s="26" t="n">
        <v>0.02</v>
      </c>
      <c r="E46" s="43" t="inlineStr">
        <is>
          <t>Aplicação usual via tratamento de sementes (g/ha) - Confiança Baixa</t>
        </is>
      </c>
    </row>
    <row r="47">
      <c r="A47" s="36">
        <f>B47&amp;"|"&amp;C47</f>
        <v/>
      </c>
      <c r="B47" s="26" t="inlineStr">
        <is>
          <t>Mo</t>
        </is>
      </c>
      <c r="C47" s="26" t="inlineStr">
        <is>
          <t>Alto</t>
        </is>
      </c>
      <c r="D47" s="26" t="n">
        <v>0</v>
      </c>
      <c r="E47" s="43" t="inlineStr">
        <is>
          <t>Sem necessidade</t>
        </is>
      </c>
    </row>
  </sheetData>
  <mergeCells count="19">
    <mergeCell ref="E45:H45"/>
    <mergeCell ref="E41:H41"/>
    <mergeCell ref="B3:R3"/>
    <mergeCell ref="E37:H37"/>
    <mergeCell ref="E47:H47"/>
    <mergeCell ref="E43:H43"/>
    <mergeCell ref="E33:H33"/>
    <mergeCell ref="E42:H42"/>
    <mergeCell ref="B1:R1"/>
    <mergeCell ref="B14:R14"/>
    <mergeCell ref="E39:H39"/>
    <mergeCell ref="E35:H35"/>
    <mergeCell ref="E38:H38"/>
    <mergeCell ref="E44:H44"/>
    <mergeCell ref="E40:H40"/>
    <mergeCell ref="E34:H34"/>
    <mergeCell ref="B15:R17"/>
    <mergeCell ref="E46:H46"/>
    <mergeCell ref="E36:H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G86"/>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5" customWidth="1" min="3" max="3"/>
    <col width="15" customWidth="1" min="4" max="4"/>
    <col width="15" customWidth="1" min="5" max="5"/>
    <col width="15" customWidth="1" min="6" max="6"/>
    <col width="40" customWidth="1" min="7" max="7"/>
  </cols>
  <sheetData>
    <row r="1" ht="28" customHeight="1">
      <c r="B1" s="1" t="inlineStr">
        <is>
          <t>SOJA — Recomendação de Adubação (N-P-K-S-Micronutrientes)</t>
        </is>
      </c>
    </row>
    <row r="3" ht="20" customHeight="1">
      <c r="B3" s="4" t="inlineStr">
        <is>
          <t>1. Parâmetros de entrada</t>
        </is>
      </c>
    </row>
    <row r="4">
      <c r="B4" s="11" t="inlineStr">
        <is>
          <t>Cultura selecionada em Dados de Entrada</t>
        </is>
      </c>
      <c r="C4" s="38">
        <f>'Dados de Entrada'!C8</f>
        <v/>
      </c>
    </row>
    <row r="5">
      <c r="B5" s="43" t="inlineStr">
        <is>
          <t>Alerta</t>
        </is>
      </c>
      <c r="C5" s="30">
        <f>IF(C4&lt;&gt;"Soja","A cultura em Dados de Entrada não é Soja - ajuste antes de usar esta aba","OK")</f>
        <v/>
      </c>
    </row>
    <row r="6">
      <c r="B6" s="11" t="inlineStr">
        <is>
          <t>Área (ha)</t>
        </is>
      </c>
      <c r="C6" s="55">
        <f>'Dados de Entrada'!C7</f>
        <v/>
      </c>
    </row>
    <row r="7">
      <c r="B7" s="11" t="inlineStr">
        <is>
          <t>Produtividade esperada</t>
        </is>
      </c>
      <c r="C7" s="37">
        <f>'Dados de Entrada'!C9</f>
        <v/>
      </c>
    </row>
    <row r="8">
      <c r="B8" s="11" t="inlineStr">
        <is>
          <t>Unidade</t>
        </is>
      </c>
      <c r="C8" s="38">
        <f>'Dados de Entrada'!C10</f>
        <v/>
      </c>
    </row>
    <row r="9">
      <c r="B9" s="11" t="inlineStr">
        <is>
          <t>Classe textural</t>
        </is>
      </c>
      <c r="C9" s="38">
        <f>'Dados de Entrada'!C19</f>
        <v/>
      </c>
    </row>
    <row r="10">
      <c r="B10" s="11" t="inlineStr">
        <is>
          <t>Matéria Orgânica (g/dm³)</t>
        </is>
      </c>
      <c r="C10" s="32">
        <f>'Dados de Entrada'!E25</f>
        <v/>
      </c>
    </row>
    <row r="11">
      <c r="B11" s="11" t="inlineStr">
        <is>
          <t>Sistema de plantio</t>
        </is>
      </c>
      <c r="C11" s="38">
        <f>'Dados de Entrada'!C12</f>
        <v/>
      </c>
    </row>
    <row r="12">
      <c r="B12" s="41" t="inlineStr">
        <is>
          <t>Produtividade meta em t/ha</t>
        </is>
      </c>
      <c r="C12" s="56">
        <f>C7*VLOOKUP("Soja",TAB_CULTURAS,3,FALSE)/1000</f>
        <v/>
      </c>
    </row>
    <row r="14" ht="20" customHeight="1">
      <c r="B14" s="4" t="inlineStr">
        <is>
          <t>2. Classes de fertilidade (aba Interpretação)</t>
        </is>
      </c>
    </row>
    <row r="15">
      <c r="B15" s="11" t="inlineStr">
        <is>
          <t>Classe - Fósforo</t>
        </is>
      </c>
      <c r="C15" s="57">
        <f>Interpretação!E6</f>
        <v/>
      </c>
    </row>
    <row r="16">
      <c r="B16" s="11" t="inlineStr">
        <is>
          <t>Classe - Potássio</t>
        </is>
      </c>
      <c r="C16" s="57">
        <f>Interpretação!E7</f>
        <v/>
      </c>
    </row>
    <row r="17">
      <c r="B17" s="11" t="inlineStr">
        <is>
          <t>Classe - Cálcio</t>
        </is>
      </c>
      <c r="C17" s="57">
        <f>Interpretação!E8</f>
        <v/>
      </c>
    </row>
    <row r="18">
      <c r="B18" s="11" t="inlineStr">
        <is>
          <t>Classe - Magnésio</t>
        </is>
      </c>
      <c r="C18" s="57">
        <f>Interpretação!E9</f>
        <v/>
      </c>
    </row>
    <row r="19">
      <c r="B19" s="11" t="inlineStr">
        <is>
          <t>Classe - Enxofre</t>
        </is>
      </c>
      <c r="C19" s="57">
        <f>Interpretação!E12</f>
        <v/>
      </c>
    </row>
    <row r="20">
      <c r="B20" s="11" t="inlineStr">
        <is>
          <t>Classe - Zinco</t>
        </is>
      </c>
      <c r="C20" s="57">
        <f>Interpretação!E13</f>
        <v/>
      </c>
    </row>
    <row r="21">
      <c r="B21" s="11" t="inlineStr">
        <is>
          <t>Classe - Boro</t>
        </is>
      </c>
      <c r="C21" s="57">
        <f>Interpretação!E17</f>
        <v/>
      </c>
    </row>
    <row r="22">
      <c r="B22" s="11" t="inlineStr">
        <is>
          <t>Classe - Cobre</t>
        </is>
      </c>
      <c r="C22" s="57">
        <f>Interpretação!E14</f>
        <v/>
      </c>
    </row>
    <row r="23">
      <c r="B23" s="11" t="inlineStr">
        <is>
          <t>Classe - Manganês</t>
        </is>
      </c>
      <c r="C23" s="57">
        <f>Interpretação!E15</f>
        <v/>
      </c>
    </row>
    <row r="24">
      <c r="B24" s="11" t="inlineStr">
        <is>
          <t>Classe - Molibdênio</t>
        </is>
      </c>
      <c r="C24" s="57">
        <f>Interpretação!E18</f>
        <v/>
      </c>
    </row>
    <row r="26" ht="20" customHeight="1">
      <c r="B26" s="4" t="inlineStr">
        <is>
          <t>3. Nitrogênio</t>
        </is>
      </c>
    </row>
    <row r="27">
      <c r="B27" s="11" t="inlineStr">
        <is>
          <t>Inoculação com Bradyrhizobium realizada corretamente?</t>
        </is>
      </c>
      <c r="C27" s="18" t="inlineStr">
        <is>
          <t>Sim</t>
        </is>
      </c>
    </row>
    <row r="28">
      <c r="B28" s="41" t="inlineStr">
        <is>
          <t>Nitrogênio recomendado (kg N/ha)</t>
        </is>
      </c>
      <c r="C28" s="58">
        <f>IF(C27="Sim",0,C12*VLOOKUP("Soja",TAB_CULTURAS,5,FALSE)/0.5)</f>
        <v/>
      </c>
    </row>
    <row r="29">
      <c r="B29" s="30" t="inlineStr">
        <is>
          <t>Fonte/Confiança: Alta - Embrapa Soja (doutrina consolidada): soja bem inoculada com Bradyrhizobium não responde economicamente à adubação nitrogenada mineral, mesmo em altas produtividades, pois a fixação biológica supre a demanda. Se a inoculação não for confirmada, calcula-se uma dose plena por exportação/eficiência (fórmula igual à do milho) como contingência.</t>
        </is>
      </c>
    </row>
    <row r="30"/>
    <row r="31"/>
    <row r="33" ht="20" customHeight="1">
      <c r="B33" s="4" t="inlineStr">
        <is>
          <t>4. Fósforo (P2O5)</t>
        </is>
      </c>
    </row>
    <row r="34">
      <c r="B34" s="11" t="inlineStr">
        <is>
          <t>Exportação pela produtividade meta (kg/ha)</t>
        </is>
      </c>
      <c r="C34" s="49">
        <f>C12*VLOOKUP("Soja",TAB_CULTURAS,6,FALSE)</f>
        <v/>
      </c>
    </row>
    <row r="35">
      <c r="B35" s="11" t="inlineStr">
        <is>
          <t>Eficiência de aproveitamento do fertilizante (%)</t>
        </is>
      </c>
      <c r="C35" s="59">
        <f>VLOOKUP(C9,TAB_EFICIENCIA,2,FALSE)</f>
        <v/>
      </c>
    </row>
    <row r="36">
      <c r="B36" s="11" t="inlineStr">
        <is>
          <t>Dose de manutenção (exportação / eficiência), kg/ha</t>
        </is>
      </c>
      <c r="C36" s="49">
        <f>C34/C35</f>
        <v/>
      </c>
    </row>
    <row r="37">
      <c r="B37" s="11" t="inlineStr">
        <is>
          <t>Classe de fertilidade considerada</t>
        </is>
      </c>
      <c r="C37" s="57">
        <f>C15</f>
        <v/>
      </c>
    </row>
    <row r="38">
      <c r="B38" s="11" t="inlineStr">
        <is>
          <t>Fator de ajuste por classe (construção/manutenção/redução)</t>
        </is>
      </c>
      <c r="C38" s="44">
        <f>VLOOKUP(C15,TAB_FATOR_CLASSE,2,FALSE)</f>
        <v/>
      </c>
    </row>
    <row r="39">
      <c r="B39" s="41" t="inlineStr">
        <is>
          <t>Dose final de P2O5 (kg/ha)</t>
        </is>
      </c>
      <c r="C39" s="58">
        <f>C36*C38</f>
        <v/>
      </c>
    </row>
    <row r="40">
      <c r="B40" s="11" t="inlineStr">
        <is>
          <t>Total para a área (kg)</t>
        </is>
      </c>
      <c r="C40" s="52">
        <f>C39*C6</f>
        <v/>
      </c>
    </row>
    <row r="41">
      <c r="B41" s="30" t="inlineStr">
        <is>
          <t>Modelo: dose = (exportação pelo grão na produtividade meta / eficiência de aproveitamento pela textura) x fator de ajuste pela classe de fertilidade atual do solo. Não é uma tabela fixa - recalcula a cada mudança de solo, textura ou produtividade. Fonte dos coeficientes de exportação: ver aba BD Culturas. Confiança do fator de ajuste: Média (premissa transparente e editável).</t>
        </is>
      </c>
    </row>
    <row r="42"/>
    <row r="43"/>
    <row r="45" ht="20" customHeight="1">
      <c r="B45" s="4" t="inlineStr">
        <is>
          <t>5. Potássio (K2O)</t>
        </is>
      </c>
    </row>
    <row r="46">
      <c r="B46" s="11" t="inlineStr">
        <is>
          <t>Exportação pela produtividade meta (kg/ha)</t>
        </is>
      </c>
      <c r="C46" s="49">
        <f>C12*VLOOKUP("Soja",TAB_CULTURAS,7,FALSE)</f>
        <v/>
      </c>
    </row>
    <row r="47">
      <c r="B47" s="11" t="inlineStr">
        <is>
          <t>Eficiência de aproveitamento do fertilizante (%)</t>
        </is>
      </c>
      <c r="C47" s="59">
        <f>VLOOKUP(C9,TAB_EFICIENCIA,3,FALSE)</f>
        <v/>
      </c>
    </row>
    <row r="48">
      <c r="B48" s="11" t="inlineStr">
        <is>
          <t>Dose de manutenção (exportação / eficiência), kg/ha</t>
        </is>
      </c>
      <c r="C48" s="49">
        <f>C46/C47</f>
        <v/>
      </c>
    </row>
    <row r="49">
      <c r="B49" s="11" t="inlineStr">
        <is>
          <t>Classe de fertilidade considerada</t>
        </is>
      </c>
      <c r="C49" s="57">
        <f>C16</f>
        <v/>
      </c>
    </row>
    <row r="50">
      <c r="B50" s="11" t="inlineStr">
        <is>
          <t>Fator de ajuste por classe (construção/manutenção/redução)</t>
        </is>
      </c>
      <c r="C50" s="44">
        <f>VLOOKUP(C16,TAB_FATOR_CLASSE,2,FALSE)</f>
        <v/>
      </c>
    </row>
    <row r="51">
      <c r="B51" s="41" t="inlineStr">
        <is>
          <t>Dose final de K2O (kg/ha)</t>
        </is>
      </c>
      <c r="C51" s="58">
        <f>C48*C50</f>
        <v/>
      </c>
    </row>
    <row r="52">
      <c r="B52" s="11" t="inlineStr">
        <is>
          <t>Total para a área (kg)</t>
        </is>
      </c>
      <c r="C52" s="52">
        <f>C51*C6</f>
        <v/>
      </c>
    </row>
    <row r="53">
      <c r="B53" s="30" t="inlineStr">
        <is>
          <t>Modelo: dose = (exportação pelo grão na produtividade meta / eficiência de aproveitamento pela textura) x fator de ajuste pela classe de fertilidade atual do solo. Não é uma tabela fixa - recalcula a cada mudança de solo, textura ou produtividade. Fonte dos coeficientes de exportação: ver aba BD Culturas. Confiança do fator de ajuste: Média (premissa transparente e editável).</t>
        </is>
      </c>
    </row>
    <row r="54"/>
    <row r="55"/>
    <row r="57" ht="20" customHeight="1">
      <c r="B57" s="4" t="inlineStr">
        <is>
          <t>6. Enxofre (S)</t>
        </is>
      </c>
    </row>
    <row r="58">
      <c r="B58" s="11" t="inlineStr">
        <is>
          <t>Exportação de S pela produtividade meta (kg/ha)</t>
        </is>
      </c>
      <c r="C58" s="49">
        <f>C12*VLOOKUP("Soja",TAB_CULTURAS,8,FALSE)</f>
        <v/>
      </c>
    </row>
    <row r="59">
      <c r="B59" s="11" t="inlineStr">
        <is>
          <t>Eficiência de aproveitamento do S (%) - padrão</t>
        </is>
      </c>
      <c r="C59" s="60" t="n">
        <v>0.6</v>
      </c>
    </row>
    <row r="60">
      <c r="B60" s="11" t="inlineStr">
        <is>
          <t>Fator de ajuste por classe de S</t>
        </is>
      </c>
      <c r="C60" s="44">
        <f>VLOOKUP(C19,TAB_FATOR_CLASSE,2,FALSE)</f>
        <v/>
      </c>
    </row>
    <row r="61">
      <c r="B61" s="41" t="inlineStr">
        <is>
          <t>Dose final de S (kg/ha)</t>
        </is>
      </c>
      <c r="C61" s="58">
        <f>C58/C59*C60</f>
        <v/>
      </c>
    </row>
    <row r="62">
      <c r="B62" s="43" t="inlineStr">
        <is>
          <t>Parte do S já pode ser suprida via gesso agrícola (ver aba Gessagem) - evitar dupla contagem ao montar a mistura final.</t>
        </is>
      </c>
    </row>
    <row r="64" ht="20" customHeight="1">
      <c r="B64" s="4" t="inlineStr">
        <is>
          <t>7. Cálcio e Magnésio (informativo - corrigidos via Calagem/Gessagem)</t>
        </is>
      </c>
    </row>
    <row r="65">
      <c r="B65" s="11" t="inlineStr">
        <is>
          <t>Exportação de Ca pela produtividade meta (kg/ha)</t>
        </is>
      </c>
      <c r="C65" s="49">
        <f>C12*VLOOKUP("Soja",TAB_CULTURAS,9,FALSE)</f>
        <v/>
      </c>
    </row>
    <row r="66">
      <c r="B66" s="11" t="inlineStr">
        <is>
          <t>Exportação de Mg pela produtividade meta (kg/ha)</t>
        </is>
      </c>
      <c r="C66" s="49">
        <f>C12*VLOOKUP("Soja",TAB_CULTURAS,10,FALSE)</f>
        <v/>
      </c>
    </row>
    <row r="67">
      <c r="B67" s="43" t="inlineStr">
        <is>
          <t>Ver abas Calagem e Gessagem para a recomendação de correção de Ca e Mg via calcário/gesso.</t>
        </is>
      </c>
    </row>
    <row r="69" ht="20" customHeight="1">
      <c r="B69" s="4" t="inlineStr">
        <is>
          <t>8. Micronutrientes (via solo)</t>
        </is>
      </c>
    </row>
    <row r="70">
      <c r="B70" s="11" t="inlineStr">
        <is>
          <t>Zn - dose via solo (kg/ha produto puro)</t>
        </is>
      </c>
      <c r="C70" s="44">
        <f>IFERROR(VLOOKUP("Zn|"&amp;C20,TAB_MICRO_DOSE,4,FALSE),0)</f>
        <v/>
      </c>
    </row>
    <row r="71">
      <c r="B71" s="11" t="inlineStr">
        <is>
          <t>B - dose via solo (kg/ha produto puro)</t>
        </is>
      </c>
      <c r="C71" s="44">
        <f>IFERROR(VLOOKUP("B|"&amp;C21,TAB_MICRO_DOSE,4,FALSE),0)</f>
        <v/>
      </c>
    </row>
    <row r="72">
      <c r="B72" s="11" t="inlineStr">
        <is>
          <t>Cu - dose via solo (kg/ha produto puro)</t>
        </is>
      </c>
      <c r="C72" s="44">
        <f>IFERROR(VLOOKUP("Cu|"&amp;C22,TAB_MICRO_DOSE,4,FALSE),0)</f>
        <v/>
      </c>
    </row>
    <row r="73">
      <c r="B73" s="11" t="inlineStr">
        <is>
          <t>Mn - dose via solo (kg/ha produto puro)</t>
        </is>
      </c>
      <c r="C73" s="44">
        <f>IFERROR(VLOOKUP("Mn|"&amp;C23,TAB_MICRO_DOSE,4,FALSE),0)</f>
        <v/>
      </c>
    </row>
    <row r="74">
      <c r="B74" s="11" t="inlineStr">
        <is>
          <t>Mo - dose via solo (kg/ha produto puro)</t>
        </is>
      </c>
      <c r="C74" s="44">
        <f>IFERROR(VLOOKUP("Mo|"&amp;C24,TAB_MICRO_DOSE,4,FALSE),0)</f>
        <v/>
      </c>
    </row>
    <row r="76" ht="20" customHeight="1">
      <c r="B76" s="4" t="inlineStr">
        <is>
          <t>9. Resumo da Adubação Recomendada</t>
        </is>
      </c>
    </row>
    <row r="77">
      <c r="B77" s="7" t="inlineStr">
        <is>
          <t>Nutriente</t>
        </is>
      </c>
      <c r="C77" s="7" t="inlineStr">
        <is>
          <t>kg/ha</t>
        </is>
      </c>
      <c r="D77" s="7" t="inlineStr">
        <is>
          <t>Total para a área (kg)</t>
        </is>
      </c>
    </row>
    <row r="78">
      <c r="B78" s="8" t="inlineStr">
        <is>
          <t>N</t>
        </is>
      </c>
      <c r="C78" s="44">
        <f>C28</f>
        <v/>
      </c>
      <c r="D78" s="52">
        <f>C28*C6</f>
        <v/>
      </c>
    </row>
    <row r="79">
      <c r="B79" s="8" t="inlineStr">
        <is>
          <t>P2O5</t>
        </is>
      </c>
      <c r="C79" s="44">
        <f>C39</f>
        <v/>
      </c>
      <c r="D79" s="52">
        <f>C39*C6</f>
        <v/>
      </c>
    </row>
    <row r="80">
      <c r="B80" s="8" t="inlineStr">
        <is>
          <t>K2O</t>
        </is>
      </c>
      <c r="C80" s="44">
        <f>C51</f>
        <v/>
      </c>
      <c r="D80" s="52">
        <f>C51*C6</f>
        <v/>
      </c>
    </row>
    <row r="81">
      <c r="B81" s="8" t="inlineStr">
        <is>
          <t>S</t>
        </is>
      </c>
      <c r="C81" s="44">
        <f>C61</f>
        <v/>
      </c>
      <c r="D81" s="52">
        <f>C61*C6</f>
        <v/>
      </c>
    </row>
    <row r="82">
      <c r="B82" s="8" t="inlineStr">
        <is>
          <t>Zn</t>
        </is>
      </c>
      <c r="C82" s="44">
        <f>C70</f>
        <v/>
      </c>
      <c r="D82" s="52">
        <f>C70*C6</f>
        <v/>
      </c>
    </row>
    <row r="83">
      <c r="B83" s="8" t="inlineStr">
        <is>
          <t>B</t>
        </is>
      </c>
      <c r="C83" s="44">
        <f>C71</f>
        <v/>
      </c>
      <c r="D83" s="52">
        <f>C71*C6</f>
        <v/>
      </c>
    </row>
    <row r="84">
      <c r="B84" s="8" t="inlineStr">
        <is>
          <t>Cu</t>
        </is>
      </c>
      <c r="C84" s="44">
        <f>C72</f>
        <v/>
      </c>
      <c r="D84" s="52">
        <f>C72*C6</f>
        <v/>
      </c>
    </row>
    <row r="85">
      <c r="B85" s="8" t="inlineStr">
        <is>
          <t>Mn</t>
        </is>
      </c>
      <c r="C85" s="44">
        <f>C73</f>
        <v/>
      </c>
      <c r="D85" s="52">
        <f>C73*C6</f>
        <v/>
      </c>
    </row>
    <row r="86">
      <c r="B86" s="8" t="inlineStr">
        <is>
          <t>Mo</t>
        </is>
      </c>
      <c r="C86" s="44">
        <f>C74</f>
        <v/>
      </c>
      <c r="D86" s="52">
        <f>C74*C6</f>
        <v/>
      </c>
    </row>
  </sheetData>
  <mergeCells count="16">
    <mergeCell ref="B3:G3"/>
    <mergeCell ref="B29:G31"/>
    <mergeCell ref="B41:G43"/>
    <mergeCell ref="B14:G14"/>
    <mergeCell ref="B67:G67"/>
    <mergeCell ref="B76:G76"/>
    <mergeCell ref="B45:G45"/>
    <mergeCell ref="B1:G1"/>
    <mergeCell ref="B53:G55"/>
    <mergeCell ref="B57:G57"/>
    <mergeCell ref="C5:G5"/>
    <mergeCell ref="B26:G26"/>
    <mergeCell ref="B62:G62"/>
    <mergeCell ref="B64:G64"/>
    <mergeCell ref="B33:G33"/>
    <mergeCell ref="B69:G69"/>
  </mergeCells>
  <dataValidations count="1">
    <dataValidation sqref="C27" showDropDown="0" showInputMessage="0" showErrorMessage="0" allowBlank="1" type="list">
      <formula1>"Sim,Não"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G8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5" customWidth="1" min="3" max="3"/>
    <col width="15" customWidth="1" min="4" max="4"/>
    <col width="15" customWidth="1" min="5" max="5"/>
    <col width="15" customWidth="1" min="6" max="6"/>
    <col width="40" customWidth="1" min="7" max="7"/>
  </cols>
  <sheetData>
    <row r="1" ht="28" customHeight="1">
      <c r="B1" s="1" t="inlineStr">
        <is>
          <t>MILHO — Recomendação de Adubação (N-P-K-S-Micronutrientes)</t>
        </is>
      </c>
    </row>
    <row r="3" ht="20" customHeight="1">
      <c r="B3" s="4" t="inlineStr">
        <is>
          <t>1. Parâmetros de entrada</t>
        </is>
      </c>
    </row>
    <row r="4">
      <c r="B4" s="11" t="inlineStr">
        <is>
          <t>Cultura selecionada em Dados de Entrada</t>
        </is>
      </c>
      <c r="C4" s="38">
        <f>'Dados de Entrada'!C8</f>
        <v/>
      </c>
    </row>
    <row r="5">
      <c r="B5" s="43" t="inlineStr">
        <is>
          <t>Alerta</t>
        </is>
      </c>
      <c r="C5" s="30">
        <f>IF(C4&lt;&gt;"Milho","A cultura em Dados de Entrada não é Milho - ajuste antes de usar esta aba","OK")</f>
        <v/>
      </c>
    </row>
    <row r="6">
      <c r="B6" s="11" t="inlineStr">
        <is>
          <t>Área (ha)</t>
        </is>
      </c>
      <c r="C6" s="55">
        <f>'Dados de Entrada'!C7</f>
        <v/>
      </c>
    </row>
    <row r="7">
      <c r="B7" s="11" t="inlineStr">
        <is>
          <t>Produtividade esperada</t>
        </is>
      </c>
      <c r="C7" s="37">
        <f>'Dados de Entrada'!C9</f>
        <v/>
      </c>
    </row>
    <row r="8">
      <c r="B8" s="11" t="inlineStr">
        <is>
          <t>Unidade</t>
        </is>
      </c>
      <c r="C8" s="38">
        <f>'Dados de Entrada'!C10</f>
        <v/>
      </c>
    </row>
    <row r="9">
      <c r="B9" s="11" t="inlineStr">
        <is>
          <t>Classe textural</t>
        </is>
      </c>
      <c r="C9" s="38">
        <f>'Dados de Entrada'!C19</f>
        <v/>
      </c>
    </row>
    <row r="10">
      <c r="B10" s="11" t="inlineStr">
        <is>
          <t>Matéria Orgânica (g/dm³)</t>
        </is>
      </c>
      <c r="C10" s="32">
        <f>'Dados de Entrada'!E25</f>
        <v/>
      </c>
    </row>
    <row r="11">
      <c r="B11" s="11" t="inlineStr">
        <is>
          <t>Sistema de plantio</t>
        </is>
      </c>
      <c r="C11" s="38">
        <f>'Dados de Entrada'!C12</f>
        <v/>
      </c>
    </row>
    <row r="12">
      <c r="B12" s="41" t="inlineStr">
        <is>
          <t>Produtividade meta em t/ha</t>
        </is>
      </c>
      <c r="C12" s="56">
        <f>C7*VLOOKUP("Milho",TAB_CULTURAS,3,FALSE)/1000</f>
        <v/>
      </c>
    </row>
    <row r="14" ht="20" customHeight="1">
      <c r="B14" s="4" t="inlineStr">
        <is>
          <t>2. Classes de fertilidade (aba Interpretação)</t>
        </is>
      </c>
    </row>
    <row r="15">
      <c r="B15" s="11" t="inlineStr">
        <is>
          <t>Classe - Fósforo</t>
        </is>
      </c>
      <c r="C15" s="57">
        <f>Interpretação!E6</f>
        <v/>
      </c>
    </row>
    <row r="16">
      <c r="B16" s="11" t="inlineStr">
        <is>
          <t>Classe - Potássio</t>
        </is>
      </c>
      <c r="C16" s="57">
        <f>Interpretação!E7</f>
        <v/>
      </c>
    </row>
    <row r="17">
      <c r="B17" s="11" t="inlineStr">
        <is>
          <t>Classe - Cálcio</t>
        </is>
      </c>
      <c r="C17" s="57">
        <f>Interpretação!E8</f>
        <v/>
      </c>
    </row>
    <row r="18">
      <c r="B18" s="11" t="inlineStr">
        <is>
          <t>Classe - Magnésio</t>
        </is>
      </c>
      <c r="C18" s="57">
        <f>Interpretação!E9</f>
        <v/>
      </c>
    </row>
    <row r="19">
      <c r="B19" s="11" t="inlineStr">
        <is>
          <t>Classe - Enxofre</t>
        </is>
      </c>
      <c r="C19" s="57">
        <f>Interpretação!E12</f>
        <v/>
      </c>
    </row>
    <row r="20">
      <c r="B20" s="11" t="inlineStr">
        <is>
          <t>Classe - Zinco</t>
        </is>
      </c>
      <c r="C20" s="57">
        <f>Interpretação!E13</f>
        <v/>
      </c>
    </row>
    <row r="21">
      <c r="B21" s="11" t="inlineStr">
        <is>
          <t>Classe - Boro</t>
        </is>
      </c>
      <c r="C21" s="57">
        <f>Interpretação!E17</f>
        <v/>
      </c>
    </row>
    <row r="22">
      <c r="B22" s="11" t="inlineStr">
        <is>
          <t>Classe - Cobre</t>
        </is>
      </c>
      <c r="C22" s="57">
        <f>Interpretação!E14</f>
        <v/>
      </c>
    </row>
    <row r="23">
      <c r="B23" s="11" t="inlineStr">
        <is>
          <t>Classe - Manganês</t>
        </is>
      </c>
      <c r="C23" s="57">
        <f>Interpretação!E15</f>
        <v/>
      </c>
    </row>
    <row r="24">
      <c r="B24" s="11" t="inlineStr">
        <is>
          <t>Classe - Molibdênio</t>
        </is>
      </c>
      <c r="C24" s="57">
        <f>Interpretação!E18</f>
        <v/>
      </c>
    </row>
    <row r="26" ht="20" customHeight="1">
      <c r="B26" s="4" t="inlineStr">
        <is>
          <t>3. Nitrogênio</t>
        </is>
      </c>
    </row>
    <row r="27">
      <c r="B27" s="11" t="inlineStr">
        <is>
          <t>Cultura anterior foi leguminosa (crédito de N)?</t>
        </is>
      </c>
      <c r="C27" s="18" t="inlineStr">
        <is>
          <t>Não</t>
        </is>
      </c>
    </row>
    <row r="28">
      <c r="B28" s="11" t="inlineStr">
        <is>
          <t>Eficiência de aproveitamento do N (%)</t>
        </is>
      </c>
      <c r="C28" s="60" t="n">
        <v>0.6</v>
      </c>
    </row>
    <row r="29">
      <c r="B29" s="11" t="inlineStr">
        <is>
          <t>Exportação de N pela produtividade meta (kg/ha)</t>
        </is>
      </c>
      <c r="C29" s="49">
        <f>C12*VLOOKUP("Milho",TAB_CULTURAS,5,FALSE)</f>
        <v/>
      </c>
    </row>
    <row r="30">
      <c r="B30" s="41" t="inlineStr">
        <is>
          <t>Nitrogênio recomendado (kg N/ha)</t>
        </is>
      </c>
      <c r="C30" s="58">
        <f>MAX(0,C29/C28-IF(C27="Sim",25,0))</f>
        <v/>
      </c>
    </row>
    <row r="31">
      <c r="B31" s="30" t="inlineStr">
        <is>
          <t>Fonte/Confiança: Média - dose de manutenção por exportação/eficiência, com crédito de N de 25 kg/ha quando a cultura anterior foi leguminosa bem nodulada (estimativa de uso corrente). Não substitui curva de resposta a N calibrada localmente (solo, clima, híbrido).</t>
        </is>
      </c>
    </row>
    <row r="32"/>
    <row r="33"/>
    <row r="35" ht="20" customHeight="1">
      <c r="B35" s="4" t="inlineStr">
        <is>
          <t>4. Fósforo (P2O5)</t>
        </is>
      </c>
    </row>
    <row r="36">
      <c r="B36" s="11" t="inlineStr">
        <is>
          <t>Exportação pela produtividade meta (kg/ha)</t>
        </is>
      </c>
      <c r="C36" s="49">
        <f>C12*VLOOKUP("Milho",TAB_CULTURAS,6,FALSE)</f>
        <v/>
      </c>
    </row>
    <row r="37">
      <c r="B37" s="11" t="inlineStr">
        <is>
          <t>Eficiência de aproveitamento do fertilizante (%)</t>
        </is>
      </c>
      <c r="C37" s="59">
        <f>VLOOKUP(C9,TAB_EFICIENCIA,2,FALSE)</f>
        <v/>
      </c>
    </row>
    <row r="38">
      <c r="B38" s="11" t="inlineStr">
        <is>
          <t>Dose de manutenção (exportação / eficiência), kg/ha</t>
        </is>
      </c>
      <c r="C38" s="49">
        <f>C36/C37</f>
        <v/>
      </c>
    </row>
    <row r="39">
      <c r="B39" s="11" t="inlineStr">
        <is>
          <t>Classe de fertilidade considerada</t>
        </is>
      </c>
      <c r="C39" s="57">
        <f>C15</f>
        <v/>
      </c>
    </row>
    <row r="40">
      <c r="B40" s="11" t="inlineStr">
        <is>
          <t>Fator de ajuste por classe (construção/manutenção/redução)</t>
        </is>
      </c>
      <c r="C40" s="44">
        <f>VLOOKUP(C15,TAB_FATOR_CLASSE,2,FALSE)</f>
        <v/>
      </c>
    </row>
    <row r="41">
      <c r="B41" s="41" t="inlineStr">
        <is>
          <t>Dose final de P2O5 (kg/ha)</t>
        </is>
      </c>
      <c r="C41" s="58">
        <f>C38*C40</f>
        <v/>
      </c>
    </row>
    <row r="42">
      <c r="B42" s="11" t="inlineStr">
        <is>
          <t>Total para a área (kg)</t>
        </is>
      </c>
      <c r="C42" s="52">
        <f>C41*C6</f>
        <v/>
      </c>
    </row>
    <row r="43">
      <c r="B43" s="30" t="inlineStr">
        <is>
          <t>Modelo: dose = (exportação pelo grão na produtividade meta / eficiência de aproveitamento pela textura) x fator de ajuste pela classe de fertilidade atual do solo. Não é uma tabela fixa - recalcula a cada mudança de solo, textura ou produtividade. Fonte dos coeficientes de exportação: ver aba BD Culturas. Confiança do fator de ajuste: Média (premissa transparente e editável).</t>
        </is>
      </c>
    </row>
    <row r="44"/>
    <row r="45"/>
    <row r="47" ht="20" customHeight="1">
      <c r="B47" s="4" t="inlineStr">
        <is>
          <t>5. Potássio (K2O)</t>
        </is>
      </c>
    </row>
    <row r="48">
      <c r="B48" s="11" t="inlineStr">
        <is>
          <t>Exportação pela produtividade meta (kg/ha)</t>
        </is>
      </c>
      <c r="C48" s="49">
        <f>C12*VLOOKUP("Milho",TAB_CULTURAS,7,FALSE)</f>
        <v/>
      </c>
    </row>
    <row r="49">
      <c r="B49" s="11" t="inlineStr">
        <is>
          <t>Eficiência de aproveitamento do fertilizante (%)</t>
        </is>
      </c>
      <c r="C49" s="59">
        <f>VLOOKUP(C9,TAB_EFICIENCIA,3,FALSE)</f>
        <v/>
      </c>
    </row>
    <row r="50">
      <c r="B50" s="11" t="inlineStr">
        <is>
          <t>Dose de manutenção (exportação / eficiência), kg/ha</t>
        </is>
      </c>
      <c r="C50" s="49">
        <f>C48/C49</f>
        <v/>
      </c>
    </row>
    <row r="51">
      <c r="B51" s="11" t="inlineStr">
        <is>
          <t>Classe de fertilidade considerada</t>
        </is>
      </c>
      <c r="C51" s="57">
        <f>C16</f>
        <v/>
      </c>
    </row>
    <row r="52">
      <c r="B52" s="11" t="inlineStr">
        <is>
          <t>Fator de ajuste por classe (construção/manutenção/redução)</t>
        </is>
      </c>
      <c r="C52" s="44">
        <f>VLOOKUP(C16,TAB_FATOR_CLASSE,2,FALSE)</f>
        <v/>
      </c>
    </row>
    <row r="53">
      <c r="B53" s="41" t="inlineStr">
        <is>
          <t>Dose final de K2O (kg/ha)</t>
        </is>
      </c>
      <c r="C53" s="58">
        <f>C50*C52</f>
        <v/>
      </c>
    </row>
    <row r="54">
      <c r="B54" s="11" t="inlineStr">
        <is>
          <t>Total para a área (kg)</t>
        </is>
      </c>
      <c r="C54" s="52">
        <f>C53*C6</f>
        <v/>
      </c>
    </row>
    <row r="55">
      <c r="B55" s="30" t="inlineStr">
        <is>
          <t>Modelo: dose = (exportação pelo grão na produtividade meta / eficiência de aproveitamento pela textura) x fator de ajuste pela classe de fertilidade atual do solo. Não é uma tabela fixa - recalcula a cada mudança de solo, textura ou produtividade. Fonte dos coeficientes de exportação: ver aba BD Culturas. Confiança do fator de ajuste: Média (premissa transparente e editável).</t>
        </is>
      </c>
    </row>
    <row r="56"/>
    <row r="57"/>
    <row r="59" ht="20" customHeight="1">
      <c r="B59" s="4" t="inlineStr">
        <is>
          <t>6. Enxofre (S)</t>
        </is>
      </c>
    </row>
    <row r="60">
      <c r="B60" s="11" t="inlineStr">
        <is>
          <t>Exportação de S pela produtividade meta (kg/ha)</t>
        </is>
      </c>
      <c r="C60" s="49">
        <f>C12*VLOOKUP("Milho",TAB_CULTURAS,8,FALSE)</f>
        <v/>
      </c>
    </row>
    <row r="61">
      <c r="B61" s="11" t="inlineStr">
        <is>
          <t>Eficiência de aproveitamento do S (%) - padrão</t>
        </is>
      </c>
      <c r="C61" s="60" t="n">
        <v>0.6</v>
      </c>
    </row>
    <row r="62">
      <c r="B62" s="11" t="inlineStr">
        <is>
          <t>Fator de ajuste por classe de S</t>
        </is>
      </c>
      <c r="C62" s="44">
        <f>VLOOKUP(C19,TAB_FATOR_CLASSE,2,FALSE)</f>
        <v/>
      </c>
    </row>
    <row r="63">
      <c r="B63" s="41" t="inlineStr">
        <is>
          <t>Dose final de S (kg/ha)</t>
        </is>
      </c>
      <c r="C63" s="58">
        <f>C60/C61*C62</f>
        <v/>
      </c>
    </row>
    <row r="64">
      <c r="B64" s="43" t="inlineStr">
        <is>
          <t>Parte do S já pode ser suprida via gesso agrícola (ver aba Gessagem) - evitar dupla contagem ao montar a mistura final.</t>
        </is>
      </c>
    </row>
    <row r="66" ht="20" customHeight="1">
      <c r="B66" s="4" t="inlineStr">
        <is>
          <t>7. Cálcio e Magnésio (informativo - corrigidos via Calagem/Gessagem)</t>
        </is>
      </c>
    </row>
    <row r="67">
      <c r="B67" s="11" t="inlineStr">
        <is>
          <t>Exportação de Ca pela produtividade meta (kg/ha)</t>
        </is>
      </c>
      <c r="C67" s="49">
        <f>C12*VLOOKUP("Milho",TAB_CULTURAS,9,FALSE)</f>
        <v/>
      </c>
    </row>
    <row r="68">
      <c r="B68" s="11" t="inlineStr">
        <is>
          <t>Exportação de Mg pela produtividade meta (kg/ha)</t>
        </is>
      </c>
      <c r="C68" s="49">
        <f>C12*VLOOKUP("Milho",TAB_CULTURAS,10,FALSE)</f>
        <v/>
      </c>
    </row>
    <row r="69">
      <c r="B69" s="43" t="inlineStr">
        <is>
          <t>Ver abas Calagem e Gessagem para a recomendação de correção de Ca e Mg via calcário/gesso.</t>
        </is>
      </c>
    </row>
    <row r="71" ht="20" customHeight="1">
      <c r="B71" s="4" t="inlineStr">
        <is>
          <t>8. Micronutrientes (via solo)</t>
        </is>
      </c>
    </row>
    <row r="72">
      <c r="B72" s="11" t="inlineStr">
        <is>
          <t>Zn - dose via solo (kg/ha produto puro)</t>
        </is>
      </c>
      <c r="C72" s="44">
        <f>IFERROR(VLOOKUP("Zn|"&amp;C20,TAB_MICRO_DOSE,4,FALSE),0)</f>
        <v/>
      </c>
    </row>
    <row r="73">
      <c r="B73" s="11" t="inlineStr">
        <is>
          <t>B - dose via solo (kg/ha produto puro)</t>
        </is>
      </c>
      <c r="C73" s="44">
        <f>IFERROR(VLOOKUP("B|"&amp;C21,TAB_MICRO_DOSE,4,FALSE),0)</f>
        <v/>
      </c>
    </row>
    <row r="74">
      <c r="B74" s="11" t="inlineStr">
        <is>
          <t>Cu - dose via solo (kg/ha produto puro)</t>
        </is>
      </c>
      <c r="C74" s="44">
        <f>IFERROR(VLOOKUP("Cu|"&amp;C22,TAB_MICRO_DOSE,4,FALSE),0)</f>
        <v/>
      </c>
    </row>
    <row r="75">
      <c r="B75" s="11" t="inlineStr">
        <is>
          <t>Mn - dose via solo (kg/ha produto puro)</t>
        </is>
      </c>
      <c r="C75" s="44">
        <f>IFERROR(VLOOKUP("Mn|"&amp;C23,TAB_MICRO_DOSE,4,FALSE),0)</f>
        <v/>
      </c>
    </row>
    <row r="76">
      <c r="B76" s="11" t="inlineStr">
        <is>
          <t>Mo - dose via solo (kg/ha produto puro)</t>
        </is>
      </c>
      <c r="C76" s="44">
        <f>IFERROR(VLOOKUP("Mo|"&amp;C24,TAB_MICRO_DOSE,4,FALSE),0)</f>
        <v/>
      </c>
    </row>
    <row r="78" ht="20" customHeight="1">
      <c r="B78" s="4" t="inlineStr">
        <is>
          <t>9. Resumo da Adubação Recomendada</t>
        </is>
      </c>
    </row>
    <row r="79">
      <c r="B79" s="7" t="inlineStr">
        <is>
          <t>Nutriente</t>
        </is>
      </c>
      <c r="C79" s="7" t="inlineStr">
        <is>
          <t>kg/ha</t>
        </is>
      </c>
      <c r="D79" s="7" t="inlineStr">
        <is>
          <t>Total para a área (kg)</t>
        </is>
      </c>
    </row>
    <row r="80">
      <c r="B80" s="8" t="inlineStr">
        <is>
          <t>N</t>
        </is>
      </c>
      <c r="C80" s="44">
        <f>C30</f>
        <v/>
      </c>
      <c r="D80" s="52">
        <f>C30*C6</f>
        <v/>
      </c>
    </row>
    <row r="81">
      <c r="B81" s="8" t="inlineStr">
        <is>
          <t>P2O5</t>
        </is>
      </c>
      <c r="C81" s="44">
        <f>C41</f>
        <v/>
      </c>
      <c r="D81" s="52">
        <f>C41*C6</f>
        <v/>
      </c>
    </row>
    <row r="82">
      <c r="B82" s="8" t="inlineStr">
        <is>
          <t>K2O</t>
        </is>
      </c>
      <c r="C82" s="44">
        <f>C53</f>
        <v/>
      </c>
      <c r="D82" s="52">
        <f>C53*C6</f>
        <v/>
      </c>
    </row>
    <row r="83">
      <c r="B83" s="8" t="inlineStr">
        <is>
          <t>S</t>
        </is>
      </c>
      <c r="C83" s="44">
        <f>C63</f>
        <v/>
      </c>
      <c r="D83" s="52">
        <f>C63*C6</f>
        <v/>
      </c>
    </row>
    <row r="84">
      <c r="B84" s="8" t="inlineStr">
        <is>
          <t>Zn</t>
        </is>
      </c>
      <c r="C84" s="44">
        <f>C72</f>
        <v/>
      </c>
      <c r="D84" s="52">
        <f>C72*C6</f>
        <v/>
      </c>
    </row>
    <row r="85">
      <c r="B85" s="8" t="inlineStr">
        <is>
          <t>B</t>
        </is>
      </c>
      <c r="C85" s="44">
        <f>C73</f>
        <v/>
      </c>
      <c r="D85" s="52">
        <f>C73*C6</f>
        <v/>
      </c>
    </row>
    <row r="86">
      <c r="B86" s="8" t="inlineStr">
        <is>
          <t>Cu</t>
        </is>
      </c>
      <c r="C86" s="44">
        <f>C74</f>
        <v/>
      </c>
      <c r="D86" s="52">
        <f>C74*C6</f>
        <v/>
      </c>
    </row>
    <row r="87">
      <c r="B87" s="8" t="inlineStr">
        <is>
          <t>Mn</t>
        </is>
      </c>
      <c r="C87" s="44">
        <f>C75</f>
        <v/>
      </c>
      <c r="D87" s="52">
        <f>C75*C6</f>
        <v/>
      </c>
    </row>
    <row r="88">
      <c r="B88" s="8" t="inlineStr">
        <is>
          <t>Mo</t>
        </is>
      </c>
      <c r="C88" s="44">
        <f>C76</f>
        <v/>
      </c>
      <c r="D88" s="52">
        <f>C76*C6</f>
        <v/>
      </c>
    </row>
  </sheetData>
  <mergeCells count="16">
    <mergeCell ref="B3:G3"/>
    <mergeCell ref="B47:G47"/>
    <mergeCell ref="B55:G57"/>
    <mergeCell ref="B59:G59"/>
    <mergeCell ref="B14:G14"/>
    <mergeCell ref="B66:G66"/>
    <mergeCell ref="B78:G78"/>
    <mergeCell ref="B1:G1"/>
    <mergeCell ref="B71:G71"/>
    <mergeCell ref="B31:G33"/>
    <mergeCell ref="C5:G5"/>
    <mergeCell ref="B35:G35"/>
    <mergeCell ref="B26:G26"/>
    <mergeCell ref="B43:G45"/>
    <mergeCell ref="B64:G64"/>
    <mergeCell ref="B69:G69"/>
  </mergeCells>
  <dataValidations count="1">
    <dataValidation sqref="C27" showDropDown="0" showInputMessage="0" showErrorMessage="0" allowBlank="1" type="list">
      <formula1>"Sim,Não"</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E32"/>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2" customWidth="1" min="2" max="2"/>
    <col width="16" customWidth="1" min="3" max="3"/>
    <col width="16" customWidth="1" min="4" max="4"/>
    <col width="40" customWidth="1" min="5" max="5"/>
  </cols>
  <sheetData>
    <row r="1" ht="28" customHeight="1">
      <c r="B1" s="1" t="inlineStr">
        <is>
          <t>OUTRAS CULTURAS — Sorgo, Feijão, Cana-de-açúcar, Panicum e Brachiaria (nível de manutenção/reposição)</t>
        </is>
      </c>
    </row>
    <row r="3">
      <c r="B3" s="30" t="inlineStr">
        <is>
          <t>Módulo simplificado (Fase 1): calcula a adubação de manutenção pela exportação de nutrientes na produtividade meta, ajustada pela eficiência de aproveitamento (textura do solo) - sem o fator de ajuste fino por classe de fertilidade usado em Soja/Milho e sem curva de resposta específica. Use como referência inicial; para essas culturas recomenda-se complementar com boletim regional (Embrapa Milho e Sorgo, Embrapa Arroz e Feijão, Fundação MT/Boletim 200, Embrapa Gado de Corte) conforme a cultura selecionada.</t>
        </is>
      </c>
    </row>
    <row r="4"/>
    <row r="5"/>
    <row r="7" ht="20" customHeight="1">
      <c r="B7" s="4" t="inlineStr">
        <is>
          <t>1. Parâmetros de entrada</t>
        </is>
      </c>
    </row>
    <row r="8">
      <c r="B8" s="11" t="inlineStr">
        <is>
          <t>Cultura selecionada em Dados de Entrada</t>
        </is>
      </c>
      <c r="C8" s="38">
        <f>'Dados de Entrada'!C8</f>
        <v/>
      </c>
    </row>
    <row r="9">
      <c r="B9" s="43" t="inlineStr">
        <is>
          <t>Alerta</t>
        </is>
      </c>
      <c r="C9" s="30">
        <f>IF(OR(C8="Soja",C8="Milho"),"Soja e Milho têm abas dedicadas com motor completo - use-as no lugar desta",IF(OR(C8="Sorgo",C8="Feijão",C8="Cana-de-açúcar",C8="Pastagem Panicum",C8="Pastagem Brachiaria"),"OK","Cultura não reconhecida"))</f>
        <v/>
      </c>
    </row>
    <row r="10">
      <c r="B10" s="11" t="inlineStr">
        <is>
          <t>Área (ha)</t>
        </is>
      </c>
      <c r="C10" s="55">
        <f>'Dados de Entrada'!C7</f>
        <v/>
      </c>
    </row>
    <row r="11">
      <c r="B11" s="11" t="inlineStr">
        <is>
          <t>Produtividade esperada</t>
        </is>
      </c>
      <c r="C11" s="37">
        <f>'Dados de Entrada'!C9</f>
        <v/>
      </c>
    </row>
    <row r="12">
      <c r="B12" s="11" t="inlineStr">
        <is>
          <t>Unidade</t>
        </is>
      </c>
      <c r="C12" s="38">
        <f>'Dados de Entrada'!C10</f>
        <v/>
      </c>
    </row>
    <row r="13">
      <c r="B13" s="11" t="inlineStr">
        <is>
          <t>Classe textural</t>
        </is>
      </c>
      <c r="C13" s="38">
        <f>'Dados de Entrada'!C19</f>
        <v/>
      </c>
    </row>
    <row r="14">
      <c r="B14" s="41" t="inlineStr">
        <is>
          <t>Produtividade meta convertida (t/ha ou t MS/ha)</t>
        </is>
      </c>
      <c r="C14" s="56">
        <f>C11*VLOOKUP(C8,TAB_CULTURAS,3,FALSE)/1000</f>
        <v/>
      </c>
    </row>
    <row r="16" ht="20" customHeight="1">
      <c r="B16" s="4" t="inlineStr">
        <is>
          <t>2. Eficiência de aproveitamento adotada</t>
        </is>
      </c>
    </row>
    <row r="17">
      <c r="B17" s="11" t="inlineStr">
        <is>
          <t>Eficiência P (%) - conforme textura</t>
        </is>
      </c>
      <c r="C17" s="59">
        <f>VLOOKUP(C13,TAB_EFICIENCIA,2,FALSE)</f>
        <v/>
      </c>
    </row>
    <row r="18">
      <c r="B18" s="11" t="inlineStr">
        <is>
          <t>Eficiência K (%) - conforme textura</t>
        </is>
      </c>
      <c r="C18" s="59">
        <f>VLOOKUP(C13,TAB_EFICIENCIA,3,FALSE)</f>
        <v/>
      </c>
    </row>
    <row r="19">
      <c r="B19" s="11" t="inlineStr">
        <is>
          <t>Eficiência N e S (%) - padrão geral</t>
        </is>
      </c>
      <c r="C19" s="60" t="n">
        <v>0.55</v>
      </c>
    </row>
    <row r="21" ht="20" customHeight="1">
      <c r="B21" s="4" t="inlineStr">
        <is>
          <t>3. Adubação de manutenção recomendada (exportação / eficiência)</t>
        </is>
      </c>
    </row>
    <row r="22">
      <c r="B22" s="7" t="inlineStr">
        <is>
          <t>Nutriente</t>
        </is>
      </c>
      <c r="C22" s="7" t="inlineStr">
        <is>
          <t>Exportação (kg/ha)</t>
        </is>
      </c>
      <c r="D22" s="7" t="inlineStr">
        <is>
          <t>Dose recomendada (kg/ha)</t>
        </is>
      </c>
      <c r="E22" s="7" t="inlineStr">
        <is>
          <t>Total área (kg)</t>
        </is>
      </c>
    </row>
    <row r="23">
      <c r="B23" s="8" t="inlineStr">
        <is>
          <t>N</t>
        </is>
      </c>
      <c r="C23" s="49">
        <f>C14*VLOOKUP(C8,TAB_CULTURAS,5,FALSE)</f>
        <v/>
      </c>
      <c r="D23" s="58">
        <f>C23/C19</f>
        <v/>
      </c>
      <c r="E23" s="52">
        <f>D23*C10</f>
        <v/>
      </c>
    </row>
    <row r="24">
      <c r="B24" s="8" t="inlineStr">
        <is>
          <t>P2O5</t>
        </is>
      </c>
      <c r="C24" s="49">
        <f>C14*VLOOKUP(C8,TAB_CULTURAS,6,FALSE)</f>
        <v/>
      </c>
      <c r="D24" s="58">
        <f>C24/C17</f>
        <v/>
      </c>
      <c r="E24" s="52">
        <f>D24*C10</f>
        <v/>
      </c>
    </row>
    <row r="25">
      <c r="B25" s="8" t="inlineStr">
        <is>
          <t>K2O</t>
        </is>
      </c>
      <c r="C25" s="49">
        <f>C14*VLOOKUP(C8,TAB_CULTURAS,7,FALSE)</f>
        <v/>
      </c>
      <c r="D25" s="58">
        <f>C25/C18</f>
        <v/>
      </c>
      <c r="E25" s="52">
        <f>D25*C10</f>
        <v/>
      </c>
    </row>
    <row r="26">
      <c r="B26" s="8" t="inlineStr">
        <is>
          <t>S</t>
        </is>
      </c>
      <c r="C26" s="49">
        <f>C14*VLOOKUP(C8,TAB_CULTURAS,8,FALSE)</f>
        <v/>
      </c>
      <c r="D26" s="58">
        <f>C26/C19</f>
        <v/>
      </c>
      <c r="E26" s="52">
        <f>D26*C10</f>
        <v/>
      </c>
    </row>
    <row r="27">
      <c r="B27" s="8" t="inlineStr">
        <is>
          <t>Ca (informativo)</t>
        </is>
      </c>
      <c r="C27" s="49">
        <f>C14*VLOOKUP(C8,TAB_CULTURAS,9,FALSE)</f>
        <v/>
      </c>
      <c r="D27" s="43" t="inlineStr">
        <is>
          <t>Ver Calagem/Gessagem</t>
        </is>
      </c>
      <c r="E27" s="43" t="inlineStr"/>
    </row>
    <row r="28">
      <c r="B28" s="8" t="inlineStr">
        <is>
          <t>Mg (informativo)</t>
        </is>
      </c>
      <c r="C28" s="49">
        <f>C14*VLOOKUP(C8,TAB_CULTURAS,10,FALSE)</f>
        <v/>
      </c>
      <c r="D28" s="43" t="inlineStr">
        <is>
          <t>Ver Calagem/Gessagem</t>
        </is>
      </c>
      <c r="E28" s="43" t="inlineStr"/>
    </row>
    <row r="30">
      <c r="B30" s="30" t="inlineStr">
        <is>
          <t>Fonte dos coeficientes de exportação: ver aba BD Culturas (coluna Fonte/Confiança por cultura). Confiança geral deste módulo simplificado: Baixa-Média - adequado como estimativa inicial de manutenção, não substitui curva de resposta local nem tabela oficial por classe de solo específica da cultura.</t>
        </is>
      </c>
    </row>
    <row r="31"/>
    <row r="32"/>
  </sheetData>
  <mergeCells count="7">
    <mergeCell ref="B1:E1"/>
    <mergeCell ref="B21:E21"/>
    <mergeCell ref="B16:E16"/>
    <mergeCell ref="C9:E9"/>
    <mergeCell ref="B7:E7"/>
    <mergeCell ref="B30:E32"/>
    <mergeCell ref="B3:E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Q36"/>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4" customWidth="1" min="16" max="16"/>
  </cols>
  <sheetData>
    <row r="1" ht="28" customHeight="1">
      <c r="B1" s="1" t="inlineStr">
        <is>
          <t>BANCO DE DADOS DE FERTILIZANTES — Composição Garantida e Preço de Referência</t>
        </is>
      </c>
    </row>
    <row r="3" ht="28" customHeight="1">
      <c r="B3" s="30" t="inlineStr">
        <is>
          <t>Tabela editável. Ajuste os percentuais conforme o rótulo/garantia do produto realmente utilizado e o preço de referência (R$/t) conforme cotação local. Linhas em branco no final permitem adicionar novos produtos - basta preencher Nome e os percentuais de garantia; a aba Mistura de Fertilizantes referencia esta tabela por nome de produto.</t>
        </is>
      </c>
    </row>
    <row r="5">
      <c r="B5" s="7" t="inlineStr">
        <is>
          <t>Produto</t>
        </is>
      </c>
      <c r="C5" s="7" t="inlineStr">
        <is>
          <t>N (%)</t>
        </is>
      </c>
      <c r="D5" s="7" t="inlineStr">
        <is>
          <t>P2O5 (%)</t>
        </is>
      </c>
      <c r="E5" s="7" t="inlineStr">
        <is>
          <t>K2O (%)</t>
        </is>
      </c>
      <c r="F5" s="7" t="inlineStr">
        <is>
          <t>S (%)</t>
        </is>
      </c>
      <c r="G5" s="7" t="inlineStr">
        <is>
          <t>Ca (%)</t>
        </is>
      </c>
      <c r="H5" s="7" t="inlineStr">
        <is>
          <t>Mg (%)</t>
        </is>
      </c>
      <c r="I5" s="7" t="inlineStr">
        <is>
          <t>CaO (%)</t>
        </is>
      </c>
      <c r="J5" s="7" t="inlineStr">
        <is>
          <t>MgO (%)</t>
        </is>
      </c>
      <c r="K5" s="7" t="inlineStr">
        <is>
          <t>PRNT (%)</t>
        </is>
      </c>
      <c r="L5" s="7" t="inlineStr">
        <is>
          <t>B (%)</t>
        </is>
      </c>
      <c r="M5" s="7" t="inlineStr">
        <is>
          <t>Zn (%)</t>
        </is>
      </c>
      <c r="N5" s="7" t="inlineStr">
        <is>
          <t>Cu (%)</t>
        </is>
      </c>
      <c r="O5" s="7" t="inlineStr">
        <is>
          <t>Mn (%)</t>
        </is>
      </c>
      <c r="P5" s="7" t="inlineStr">
        <is>
          <t>Mo (%)</t>
        </is>
      </c>
      <c r="Q5" s="7" t="inlineStr">
        <is>
          <t>Preço ref. (R$/t)</t>
        </is>
      </c>
    </row>
    <row r="6">
      <c r="B6" s="8" t="inlineStr">
        <is>
          <t>Ureia</t>
        </is>
      </c>
      <c r="C6" s="24" t="n">
        <v>45</v>
      </c>
      <c r="D6" s="24" t="n">
        <v>0</v>
      </c>
      <c r="E6" s="24" t="n">
        <v>0</v>
      </c>
      <c r="F6" s="24" t="n">
        <v>0</v>
      </c>
      <c r="G6" s="24" t="n">
        <v>0</v>
      </c>
      <c r="H6" s="24" t="n">
        <v>0</v>
      </c>
      <c r="I6" s="24" t="n">
        <v>0</v>
      </c>
      <c r="J6" s="24" t="n">
        <v>0</v>
      </c>
      <c r="K6" s="24" t="n">
        <v>0</v>
      </c>
      <c r="L6" s="24" t="n">
        <v>0</v>
      </c>
      <c r="M6" s="24" t="n">
        <v>0</v>
      </c>
      <c r="N6" s="24" t="n">
        <v>0</v>
      </c>
      <c r="O6" s="24" t="n">
        <v>0</v>
      </c>
      <c r="P6" s="24" t="n">
        <v>0</v>
      </c>
      <c r="Q6" s="61" t="n">
        <v>2600</v>
      </c>
    </row>
    <row r="7">
      <c r="B7" s="8" t="inlineStr">
        <is>
          <t>Sulfato de Amônio</t>
        </is>
      </c>
      <c r="C7" s="24" t="n">
        <v>20</v>
      </c>
      <c r="D7" s="24" t="n">
        <v>0</v>
      </c>
      <c r="E7" s="24" t="n">
        <v>0</v>
      </c>
      <c r="F7" s="24" t="n">
        <v>24</v>
      </c>
      <c r="G7" s="24" t="n">
        <v>0</v>
      </c>
      <c r="H7" s="24" t="n">
        <v>0</v>
      </c>
      <c r="I7" s="24" t="n">
        <v>0</v>
      </c>
      <c r="J7" s="24" t="n">
        <v>0</v>
      </c>
      <c r="K7" s="24" t="n">
        <v>0</v>
      </c>
      <c r="L7" s="24" t="n">
        <v>0</v>
      </c>
      <c r="M7" s="24" t="n">
        <v>0</v>
      </c>
      <c r="N7" s="24" t="n">
        <v>0</v>
      </c>
      <c r="O7" s="24" t="n">
        <v>0</v>
      </c>
      <c r="P7" s="24" t="n">
        <v>0</v>
      </c>
      <c r="Q7" s="61" t="n">
        <v>2100</v>
      </c>
    </row>
    <row r="8">
      <c r="B8" s="8" t="inlineStr">
        <is>
          <t>Nitrato de Amônio</t>
        </is>
      </c>
      <c r="C8" s="24" t="n">
        <v>32</v>
      </c>
      <c r="D8" s="24" t="n">
        <v>0</v>
      </c>
      <c r="E8" s="24" t="n">
        <v>0</v>
      </c>
      <c r="F8" s="24" t="n">
        <v>0</v>
      </c>
      <c r="G8" s="24" t="n">
        <v>0</v>
      </c>
      <c r="H8" s="24" t="n">
        <v>0</v>
      </c>
      <c r="I8" s="24" t="n">
        <v>0</v>
      </c>
      <c r="J8" s="24" t="n">
        <v>0</v>
      </c>
      <c r="K8" s="24" t="n">
        <v>0</v>
      </c>
      <c r="L8" s="24" t="n">
        <v>0</v>
      </c>
      <c r="M8" s="24" t="n">
        <v>0</v>
      </c>
      <c r="N8" s="24" t="n">
        <v>0</v>
      </c>
      <c r="O8" s="24" t="n">
        <v>0</v>
      </c>
      <c r="P8" s="24" t="n">
        <v>0</v>
      </c>
      <c r="Q8" s="61" t="n">
        <v>2700</v>
      </c>
    </row>
    <row r="9">
      <c r="B9" s="8" t="inlineStr">
        <is>
          <t>MAP (11-52-00)</t>
        </is>
      </c>
      <c r="C9" s="24" t="n">
        <v>11</v>
      </c>
      <c r="D9" s="24" t="n">
        <v>52</v>
      </c>
      <c r="E9" s="24" t="n">
        <v>0</v>
      </c>
      <c r="F9" s="24" t="n">
        <v>0</v>
      </c>
      <c r="G9" s="24" t="n">
        <v>0</v>
      </c>
      <c r="H9" s="24" t="n">
        <v>0</v>
      </c>
      <c r="I9" s="24" t="n">
        <v>0</v>
      </c>
      <c r="J9" s="24" t="n">
        <v>0</v>
      </c>
      <c r="K9" s="24" t="n">
        <v>0</v>
      </c>
      <c r="L9" s="24" t="n">
        <v>0</v>
      </c>
      <c r="M9" s="24" t="n">
        <v>0</v>
      </c>
      <c r="N9" s="24" t="n">
        <v>0</v>
      </c>
      <c r="O9" s="24" t="n">
        <v>0</v>
      </c>
      <c r="P9" s="24" t="n">
        <v>0</v>
      </c>
      <c r="Q9" s="61" t="n">
        <v>4200</v>
      </c>
    </row>
    <row r="10">
      <c r="B10" s="8" t="inlineStr">
        <is>
          <t>DAP (18-46-00)</t>
        </is>
      </c>
      <c r="C10" s="24" t="n">
        <v>18</v>
      </c>
      <c r="D10" s="24" t="n">
        <v>46</v>
      </c>
      <c r="E10" s="24" t="n">
        <v>0</v>
      </c>
      <c r="F10" s="24" t="n">
        <v>0</v>
      </c>
      <c r="G10" s="24" t="n">
        <v>0</v>
      </c>
      <c r="H10" s="24" t="n">
        <v>0</v>
      </c>
      <c r="I10" s="24" t="n">
        <v>0</v>
      </c>
      <c r="J10" s="24" t="n">
        <v>0</v>
      </c>
      <c r="K10" s="24" t="n">
        <v>0</v>
      </c>
      <c r="L10" s="24" t="n">
        <v>0</v>
      </c>
      <c r="M10" s="24" t="n">
        <v>0</v>
      </c>
      <c r="N10" s="24" t="n">
        <v>0</v>
      </c>
      <c r="O10" s="24" t="n">
        <v>0</v>
      </c>
      <c r="P10" s="24" t="n">
        <v>0</v>
      </c>
      <c r="Q10" s="61" t="n">
        <v>4100</v>
      </c>
    </row>
    <row r="11">
      <c r="B11" s="8" t="inlineStr">
        <is>
          <t>Superfosfato Simples</t>
        </is>
      </c>
      <c r="C11" s="24" t="n">
        <v>0</v>
      </c>
      <c r="D11" s="24" t="n">
        <v>18</v>
      </c>
      <c r="E11" s="24" t="n">
        <v>0</v>
      </c>
      <c r="F11" s="24" t="n">
        <v>10</v>
      </c>
      <c r="G11" s="24" t="n">
        <v>18</v>
      </c>
      <c r="H11" s="24" t="n">
        <v>0</v>
      </c>
      <c r="I11" s="24" t="n">
        <v>0</v>
      </c>
      <c r="J11" s="24" t="n">
        <v>0</v>
      </c>
      <c r="K11" s="24" t="n">
        <v>0</v>
      </c>
      <c r="L11" s="24" t="n">
        <v>0</v>
      </c>
      <c r="M11" s="24" t="n">
        <v>0</v>
      </c>
      <c r="N11" s="24" t="n">
        <v>0</v>
      </c>
      <c r="O11" s="24" t="n">
        <v>0</v>
      </c>
      <c r="P11" s="24" t="n">
        <v>0</v>
      </c>
      <c r="Q11" s="61" t="n">
        <v>2000</v>
      </c>
    </row>
    <row r="12">
      <c r="B12" s="8" t="inlineStr">
        <is>
          <t>Superfosfato Triplo</t>
        </is>
      </c>
      <c r="C12" s="24" t="n">
        <v>0</v>
      </c>
      <c r="D12" s="24" t="n">
        <v>41</v>
      </c>
      <c r="E12" s="24" t="n">
        <v>0</v>
      </c>
      <c r="F12" s="24" t="n">
        <v>0</v>
      </c>
      <c r="G12" s="24" t="n">
        <v>12</v>
      </c>
      <c r="H12" s="24" t="n">
        <v>0</v>
      </c>
      <c r="I12" s="24" t="n">
        <v>0</v>
      </c>
      <c r="J12" s="24" t="n">
        <v>0</v>
      </c>
      <c r="K12" s="24" t="n">
        <v>0</v>
      </c>
      <c r="L12" s="24" t="n">
        <v>0</v>
      </c>
      <c r="M12" s="24" t="n">
        <v>0</v>
      </c>
      <c r="N12" s="24" t="n">
        <v>0</v>
      </c>
      <c r="O12" s="24" t="n">
        <v>0</v>
      </c>
      <c r="P12" s="24" t="n">
        <v>0</v>
      </c>
      <c r="Q12" s="61" t="n">
        <v>3600</v>
      </c>
    </row>
    <row r="13">
      <c r="B13" s="8" t="inlineStr">
        <is>
          <t>Termofosfato (Yoorin)</t>
        </is>
      </c>
      <c r="C13" s="24" t="n">
        <v>0</v>
      </c>
      <c r="D13" s="24" t="n">
        <v>17</v>
      </c>
      <c r="E13" s="24" t="n">
        <v>0</v>
      </c>
      <c r="F13" s="24" t="n">
        <v>0</v>
      </c>
      <c r="G13" s="24" t="n">
        <v>18</v>
      </c>
      <c r="H13" s="24" t="n">
        <v>6</v>
      </c>
      <c r="I13" s="24" t="n">
        <v>0</v>
      </c>
      <c r="J13" s="24" t="n">
        <v>0</v>
      </c>
      <c r="K13" s="24" t="n">
        <v>0</v>
      </c>
      <c r="L13" s="24" t="n">
        <v>0.1</v>
      </c>
      <c r="M13" s="24" t="n">
        <v>0.4</v>
      </c>
      <c r="N13" s="24" t="n">
        <v>0</v>
      </c>
      <c r="O13" s="24" t="n">
        <v>0</v>
      </c>
      <c r="P13" s="24" t="n">
        <v>0</v>
      </c>
      <c r="Q13" s="61" t="n">
        <v>2400</v>
      </c>
    </row>
    <row r="14">
      <c r="B14" s="8" t="inlineStr">
        <is>
          <t>Fosfato Natural Reativo</t>
        </is>
      </c>
      <c r="C14" s="24" t="n">
        <v>0</v>
      </c>
      <c r="D14" s="24" t="n">
        <v>28</v>
      </c>
      <c r="E14" s="24" t="n">
        <v>0</v>
      </c>
      <c r="F14" s="24" t="n">
        <v>0</v>
      </c>
      <c r="G14" s="24" t="n">
        <v>30</v>
      </c>
      <c r="H14" s="24" t="n">
        <v>0</v>
      </c>
      <c r="I14" s="24" t="n">
        <v>0</v>
      </c>
      <c r="J14" s="24" t="n">
        <v>0</v>
      </c>
      <c r="K14" s="24" t="n">
        <v>0</v>
      </c>
      <c r="L14" s="24" t="n">
        <v>0</v>
      </c>
      <c r="M14" s="24" t="n">
        <v>0</v>
      </c>
      <c r="N14" s="24" t="n">
        <v>0</v>
      </c>
      <c r="O14" s="24" t="n">
        <v>0</v>
      </c>
      <c r="P14" s="24" t="n">
        <v>0</v>
      </c>
      <c r="Q14" s="61" t="n">
        <v>2200</v>
      </c>
    </row>
    <row r="15">
      <c r="B15" s="8" t="inlineStr">
        <is>
          <t>Cloreto de Potássio</t>
        </is>
      </c>
      <c r="C15" s="24" t="n">
        <v>0</v>
      </c>
      <c r="D15" s="24" t="n">
        <v>0</v>
      </c>
      <c r="E15" s="24" t="n">
        <v>58</v>
      </c>
      <c r="F15" s="24" t="n">
        <v>0</v>
      </c>
      <c r="G15" s="24" t="n">
        <v>0</v>
      </c>
      <c r="H15" s="24" t="n">
        <v>0</v>
      </c>
      <c r="I15" s="24" t="n">
        <v>0</v>
      </c>
      <c r="J15" s="24" t="n">
        <v>0</v>
      </c>
      <c r="K15" s="24" t="n">
        <v>0</v>
      </c>
      <c r="L15" s="24" t="n">
        <v>0</v>
      </c>
      <c r="M15" s="24" t="n">
        <v>0</v>
      </c>
      <c r="N15" s="24" t="n">
        <v>0</v>
      </c>
      <c r="O15" s="24" t="n">
        <v>0</v>
      </c>
      <c r="P15" s="24" t="n">
        <v>0</v>
      </c>
      <c r="Q15" s="61" t="n">
        <v>3600</v>
      </c>
    </row>
    <row r="16">
      <c r="B16" s="8" t="inlineStr">
        <is>
          <t>Sulfato de Potássio</t>
        </is>
      </c>
      <c r="C16" s="24" t="n">
        <v>0</v>
      </c>
      <c r="D16" s="24" t="n">
        <v>0</v>
      </c>
      <c r="E16" s="24" t="n">
        <v>50</v>
      </c>
      <c r="F16" s="24" t="n">
        <v>17</v>
      </c>
      <c r="G16" s="24" t="n">
        <v>0</v>
      </c>
      <c r="H16" s="24" t="n">
        <v>0</v>
      </c>
      <c r="I16" s="24" t="n">
        <v>0</v>
      </c>
      <c r="J16" s="24" t="n">
        <v>0</v>
      </c>
      <c r="K16" s="24" t="n">
        <v>0</v>
      </c>
      <c r="L16" s="24" t="n">
        <v>0</v>
      </c>
      <c r="M16" s="24" t="n">
        <v>0</v>
      </c>
      <c r="N16" s="24" t="n">
        <v>0</v>
      </c>
      <c r="O16" s="24" t="n">
        <v>0</v>
      </c>
      <c r="P16" s="24" t="n">
        <v>0</v>
      </c>
      <c r="Q16" s="61" t="n">
        <v>5200</v>
      </c>
    </row>
    <row r="17">
      <c r="B17" s="8" t="inlineStr">
        <is>
          <t>Nitrato de Potássio</t>
        </is>
      </c>
      <c r="C17" s="24" t="n">
        <v>13</v>
      </c>
      <c r="D17" s="24" t="n">
        <v>0</v>
      </c>
      <c r="E17" s="24" t="n">
        <v>44</v>
      </c>
      <c r="F17" s="24" t="n">
        <v>0</v>
      </c>
      <c r="G17" s="24" t="n">
        <v>0</v>
      </c>
      <c r="H17" s="24" t="n">
        <v>0</v>
      </c>
      <c r="I17" s="24" t="n">
        <v>0</v>
      </c>
      <c r="J17" s="24" t="n">
        <v>0</v>
      </c>
      <c r="K17" s="24" t="n">
        <v>0</v>
      </c>
      <c r="L17" s="24" t="n">
        <v>0</v>
      </c>
      <c r="M17" s="24" t="n">
        <v>0</v>
      </c>
      <c r="N17" s="24" t="n">
        <v>0</v>
      </c>
      <c r="O17" s="24" t="n">
        <v>0</v>
      </c>
      <c r="P17" s="24" t="n">
        <v>0</v>
      </c>
      <c r="Q17" s="61" t="n">
        <v>6800</v>
      </c>
    </row>
    <row r="18">
      <c r="B18" s="8" t="inlineStr">
        <is>
          <t>K-Mag (Sulpomag)</t>
        </is>
      </c>
      <c r="C18" s="24" t="n">
        <v>0</v>
      </c>
      <c r="D18" s="24" t="n">
        <v>0</v>
      </c>
      <c r="E18" s="24" t="n">
        <v>18</v>
      </c>
      <c r="F18" s="24" t="n">
        <v>22</v>
      </c>
      <c r="G18" s="24" t="n">
        <v>0</v>
      </c>
      <c r="H18" s="24" t="n">
        <v>11</v>
      </c>
      <c r="I18" s="24" t="n">
        <v>0</v>
      </c>
      <c r="J18" s="24" t="n">
        <v>0</v>
      </c>
      <c r="K18" s="24" t="n">
        <v>0</v>
      </c>
      <c r="L18" s="24" t="n">
        <v>0</v>
      </c>
      <c r="M18" s="24" t="n">
        <v>0</v>
      </c>
      <c r="N18" s="24" t="n">
        <v>0</v>
      </c>
      <c r="O18" s="24" t="n">
        <v>0</v>
      </c>
      <c r="P18" s="24" t="n">
        <v>0</v>
      </c>
      <c r="Q18" s="61" t="n">
        <v>4500</v>
      </c>
    </row>
    <row r="19">
      <c r="B19" s="8" t="inlineStr">
        <is>
          <t>Calcário Calcítico (PRNT 90%)</t>
        </is>
      </c>
      <c r="C19" s="24" t="n">
        <v>0</v>
      </c>
      <c r="D19" s="24" t="n">
        <v>0</v>
      </c>
      <c r="E19" s="24" t="n">
        <v>0</v>
      </c>
      <c r="F19" s="24" t="n">
        <v>0</v>
      </c>
      <c r="G19" s="24" t="n">
        <v>0</v>
      </c>
      <c r="H19" s="24" t="n">
        <v>0</v>
      </c>
      <c r="I19" s="24" t="n">
        <v>48</v>
      </c>
      <c r="J19" s="24" t="n">
        <v>4</v>
      </c>
      <c r="K19" s="24" t="n">
        <v>90</v>
      </c>
      <c r="L19" s="24" t="n">
        <v>0</v>
      </c>
      <c r="M19" s="24" t="n">
        <v>0</v>
      </c>
      <c r="N19" s="24" t="n">
        <v>0</v>
      </c>
      <c r="O19" s="24" t="n">
        <v>0</v>
      </c>
      <c r="P19" s="24" t="n">
        <v>0</v>
      </c>
      <c r="Q19" s="61" t="n">
        <v>130</v>
      </c>
    </row>
    <row r="20">
      <c r="B20" s="8" t="inlineStr">
        <is>
          <t>Calcário Dolomítico (PRNT 90%)</t>
        </is>
      </c>
      <c r="C20" s="24" t="n">
        <v>0</v>
      </c>
      <c r="D20" s="24" t="n">
        <v>0</v>
      </c>
      <c r="E20" s="24" t="n">
        <v>0</v>
      </c>
      <c r="F20" s="24" t="n">
        <v>0</v>
      </c>
      <c r="G20" s="24" t="n">
        <v>0</v>
      </c>
      <c r="H20" s="24" t="n">
        <v>0</v>
      </c>
      <c r="I20" s="24" t="n">
        <v>32</v>
      </c>
      <c r="J20" s="24" t="n">
        <v>18</v>
      </c>
      <c r="K20" s="24" t="n">
        <v>90</v>
      </c>
      <c r="L20" s="24" t="n">
        <v>0</v>
      </c>
      <c r="M20" s="24" t="n">
        <v>0</v>
      </c>
      <c r="N20" s="24" t="n">
        <v>0</v>
      </c>
      <c r="O20" s="24" t="n">
        <v>0</v>
      </c>
      <c r="P20" s="24" t="n">
        <v>0</v>
      </c>
      <c r="Q20" s="61" t="n">
        <v>140</v>
      </c>
    </row>
    <row r="21">
      <c r="B21" s="8" t="inlineStr">
        <is>
          <t>Gesso Agrícola</t>
        </is>
      </c>
      <c r="C21" s="24" t="n">
        <v>0</v>
      </c>
      <c r="D21" s="24" t="n">
        <v>0</v>
      </c>
      <c r="E21" s="24" t="n">
        <v>0</v>
      </c>
      <c r="F21" s="24" t="n">
        <v>15</v>
      </c>
      <c r="G21" s="24" t="n">
        <v>16</v>
      </c>
      <c r="H21" s="24" t="n">
        <v>0</v>
      </c>
      <c r="I21" s="24" t="n">
        <v>0</v>
      </c>
      <c r="J21" s="24" t="n">
        <v>0</v>
      </c>
      <c r="K21" s="24" t="n">
        <v>0</v>
      </c>
      <c r="L21" s="24" t="n">
        <v>0</v>
      </c>
      <c r="M21" s="24" t="n">
        <v>0</v>
      </c>
      <c r="N21" s="24" t="n">
        <v>0</v>
      </c>
      <c r="O21" s="24" t="n">
        <v>0</v>
      </c>
      <c r="P21" s="24" t="n">
        <v>0</v>
      </c>
      <c r="Q21" s="61" t="n">
        <v>350</v>
      </c>
    </row>
    <row r="22">
      <c r="B22" s="8" t="inlineStr">
        <is>
          <t>FTE BR-12</t>
        </is>
      </c>
      <c r="C22" s="24" t="n">
        <v>0</v>
      </c>
      <c r="D22" s="24" t="n">
        <v>0</v>
      </c>
      <c r="E22" s="24" t="n">
        <v>0</v>
      </c>
      <c r="F22" s="24" t="n">
        <v>3</v>
      </c>
      <c r="G22" s="24" t="n">
        <v>0</v>
      </c>
      <c r="H22" s="24" t="n">
        <v>0</v>
      </c>
      <c r="I22" s="24" t="n">
        <v>0</v>
      </c>
      <c r="J22" s="24" t="n">
        <v>0</v>
      </c>
      <c r="K22" s="24" t="n">
        <v>0</v>
      </c>
      <c r="L22" s="24" t="n">
        <v>1.8</v>
      </c>
      <c r="M22" s="24" t="n">
        <v>9</v>
      </c>
      <c r="N22" s="24" t="n">
        <v>0.8</v>
      </c>
      <c r="O22" s="24" t="n">
        <v>2</v>
      </c>
      <c r="P22" s="24" t="n">
        <v>0.1</v>
      </c>
      <c r="Q22" s="61" t="n">
        <v>9500</v>
      </c>
    </row>
    <row r="23">
      <c r="B23" s="8" t="inlineStr">
        <is>
          <t>Ácido Bórico</t>
        </is>
      </c>
      <c r="C23" s="24" t="n">
        <v>0</v>
      </c>
      <c r="D23" s="24" t="n">
        <v>0</v>
      </c>
      <c r="E23" s="24" t="n">
        <v>0</v>
      </c>
      <c r="F23" s="24" t="n">
        <v>0</v>
      </c>
      <c r="G23" s="24" t="n">
        <v>0</v>
      </c>
      <c r="H23" s="24" t="n">
        <v>0</v>
      </c>
      <c r="I23" s="24" t="n">
        <v>0</v>
      </c>
      <c r="J23" s="24" t="n">
        <v>0</v>
      </c>
      <c r="K23" s="24" t="n">
        <v>0</v>
      </c>
      <c r="L23" s="24" t="n">
        <v>17</v>
      </c>
      <c r="M23" s="24" t="n">
        <v>0</v>
      </c>
      <c r="N23" s="24" t="n">
        <v>0</v>
      </c>
      <c r="O23" s="24" t="n">
        <v>0</v>
      </c>
      <c r="P23" s="24" t="n">
        <v>0</v>
      </c>
      <c r="Q23" s="61" t="n">
        <v>12000</v>
      </c>
    </row>
    <row r="24">
      <c r="B24" s="8" t="inlineStr">
        <is>
          <t>Borogran</t>
        </is>
      </c>
      <c r="C24" s="24" t="n">
        <v>0</v>
      </c>
      <c r="D24" s="24" t="n">
        <v>0</v>
      </c>
      <c r="E24" s="24" t="n">
        <v>0</v>
      </c>
      <c r="F24" s="24" t="n">
        <v>0</v>
      </c>
      <c r="G24" s="24" t="n">
        <v>0</v>
      </c>
      <c r="H24" s="24" t="n">
        <v>0</v>
      </c>
      <c r="I24" s="24" t="n">
        <v>0</v>
      </c>
      <c r="J24" s="24" t="n">
        <v>0</v>
      </c>
      <c r="K24" s="24" t="n">
        <v>0</v>
      </c>
      <c r="L24" s="24" t="n">
        <v>10</v>
      </c>
      <c r="M24" s="24" t="n">
        <v>0</v>
      </c>
      <c r="N24" s="24" t="n">
        <v>0</v>
      </c>
      <c r="O24" s="24" t="n">
        <v>0</v>
      </c>
      <c r="P24" s="24" t="n">
        <v>0</v>
      </c>
      <c r="Q24" s="61" t="n">
        <v>6500</v>
      </c>
    </row>
    <row r="25">
      <c r="B25" s="8" t="inlineStr">
        <is>
          <t>Sulfato de Zinco</t>
        </is>
      </c>
      <c r="C25" s="24" t="n">
        <v>0</v>
      </c>
      <c r="D25" s="24" t="n">
        <v>0</v>
      </c>
      <c r="E25" s="24" t="n">
        <v>0</v>
      </c>
      <c r="F25" s="24" t="n">
        <v>10</v>
      </c>
      <c r="G25" s="24" t="n">
        <v>0</v>
      </c>
      <c r="H25" s="24" t="n">
        <v>0</v>
      </c>
      <c r="I25" s="24" t="n">
        <v>0</v>
      </c>
      <c r="J25" s="24" t="n">
        <v>0</v>
      </c>
      <c r="K25" s="24" t="n">
        <v>0</v>
      </c>
      <c r="L25" s="24" t="n">
        <v>0</v>
      </c>
      <c r="M25" s="24" t="n">
        <v>20</v>
      </c>
      <c r="N25" s="24" t="n">
        <v>0</v>
      </c>
      <c r="O25" s="24" t="n">
        <v>0</v>
      </c>
      <c r="P25" s="24" t="n">
        <v>0</v>
      </c>
      <c r="Q25" s="61" t="n">
        <v>7500</v>
      </c>
    </row>
    <row r="26">
      <c r="B26" s="8" t="inlineStr">
        <is>
          <t>Sulfato de Cobre</t>
        </is>
      </c>
      <c r="C26" s="24" t="n">
        <v>0</v>
      </c>
      <c r="D26" s="24" t="n">
        <v>0</v>
      </c>
      <c r="E26" s="24" t="n">
        <v>0</v>
      </c>
      <c r="F26" s="24" t="n">
        <v>12</v>
      </c>
      <c r="G26" s="24" t="n">
        <v>0</v>
      </c>
      <c r="H26" s="24" t="n">
        <v>0</v>
      </c>
      <c r="I26" s="24" t="n">
        <v>0</v>
      </c>
      <c r="J26" s="24" t="n">
        <v>0</v>
      </c>
      <c r="K26" s="24" t="n">
        <v>0</v>
      </c>
      <c r="L26" s="24" t="n">
        <v>0</v>
      </c>
      <c r="M26" s="24" t="n">
        <v>0</v>
      </c>
      <c r="N26" s="24" t="n">
        <v>24</v>
      </c>
      <c r="O26" s="24" t="n">
        <v>0</v>
      </c>
      <c r="P26" s="24" t="n">
        <v>0</v>
      </c>
      <c r="Q26" s="61" t="n">
        <v>9000</v>
      </c>
    </row>
    <row r="27">
      <c r="B27" s="8" t="inlineStr">
        <is>
          <t>Óxido de Magnésio</t>
        </is>
      </c>
      <c r="C27" s="24" t="n">
        <v>0</v>
      </c>
      <c r="D27" s="24" t="n">
        <v>0</v>
      </c>
      <c r="E27" s="24" t="n">
        <v>0</v>
      </c>
      <c r="F27" s="24" t="n">
        <v>0</v>
      </c>
      <c r="G27" s="24" t="n">
        <v>0</v>
      </c>
      <c r="H27" s="24" t="n">
        <v>52</v>
      </c>
      <c r="I27" s="24" t="n">
        <v>0</v>
      </c>
      <c r="J27" s="24" t="n">
        <v>85</v>
      </c>
      <c r="K27" s="24" t="n">
        <v>0</v>
      </c>
      <c r="L27" s="24" t="n">
        <v>0</v>
      </c>
      <c r="M27" s="24" t="n">
        <v>0</v>
      </c>
      <c r="N27" s="24" t="n">
        <v>0</v>
      </c>
      <c r="O27" s="24" t="n">
        <v>0</v>
      </c>
      <c r="P27" s="24" t="n">
        <v>0</v>
      </c>
      <c r="Q27" s="61" t="n">
        <v>2200</v>
      </c>
    </row>
    <row r="28">
      <c r="B28" s="8" t="inlineStr">
        <is>
          <t>Organomineral 04-14-08</t>
        </is>
      </c>
      <c r="C28" s="24" t="n">
        <v>4</v>
      </c>
      <c r="D28" s="24" t="n">
        <v>14</v>
      </c>
      <c r="E28" s="24" t="n">
        <v>8</v>
      </c>
      <c r="F28" s="24" t="n">
        <v>0</v>
      </c>
      <c r="G28" s="24" t="n">
        <v>0</v>
      </c>
      <c r="H28" s="24" t="n">
        <v>0</v>
      </c>
      <c r="I28" s="24" t="n">
        <v>0</v>
      </c>
      <c r="J28" s="24" t="n">
        <v>0</v>
      </c>
      <c r="K28" s="24" t="n">
        <v>0</v>
      </c>
      <c r="L28" s="24" t="n">
        <v>0</v>
      </c>
      <c r="M28" s="24" t="n">
        <v>0</v>
      </c>
      <c r="N28" s="24" t="n">
        <v>0</v>
      </c>
      <c r="O28" s="24" t="n">
        <v>0</v>
      </c>
      <c r="P28" s="24" t="n">
        <v>0</v>
      </c>
      <c r="Q28" s="61" t="n">
        <v>1800</v>
      </c>
    </row>
    <row r="29">
      <c r="B29" s="62" t="inlineStr"/>
      <c r="C29" s="24" t="n">
        <v>0</v>
      </c>
      <c r="D29" s="24" t="n">
        <v>0</v>
      </c>
      <c r="E29" s="24" t="n">
        <v>0</v>
      </c>
      <c r="F29" s="24" t="n">
        <v>0</v>
      </c>
      <c r="G29" s="24" t="n">
        <v>0</v>
      </c>
      <c r="H29" s="24" t="n">
        <v>0</v>
      </c>
      <c r="I29" s="24" t="n">
        <v>0</v>
      </c>
      <c r="J29" s="24" t="n">
        <v>0</v>
      </c>
      <c r="K29" s="24" t="n">
        <v>0</v>
      </c>
      <c r="L29" s="24" t="n">
        <v>0</v>
      </c>
      <c r="M29" s="24" t="n">
        <v>0</v>
      </c>
      <c r="N29" s="24" t="n">
        <v>0</v>
      </c>
      <c r="O29" s="24" t="n">
        <v>0</v>
      </c>
      <c r="P29" s="24" t="n">
        <v>0</v>
      </c>
      <c r="Q29" s="61" t="n">
        <v>0</v>
      </c>
    </row>
    <row r="30">
      <c r="B30" s="62" t="inlineStr"/>
      <c r="C30" s="24" t="n">
        <v>0</v>
      </c>
      <c r="D30" s="24" t="n">
        <v>0</v>
      </c>
      <c r="E30" s="24" t="n">
        <v>0</v>
      </c>
      <c r="F30" s="24" t="n">
        <v>0</v>
      </c>
      <c r="G30" s="24" t="n">
        <v>0</v>
      </c>
      <c r="H30" s="24" t="n">
        <v>0</v>
      </c>
      <c r="I30" s="24" t="n">
        <v>0</v>
      </c>
      <c r="J30" s="24" t="n">
        <v>0</v>
      </c>
      <c r="K30" s="24" t="n">
        <v>0</v>
      </c>
      <c r="L30" s="24" t="n">
        <v>0</v>
      </c>
      <c r="M30" s="24" t="n">
        <v>0</v>
      </c>
      <c r="N30" s="24" t="n">
        <v>0</v>
      </c>
      <c r="O30" s="24" t="n">
        <v>0</v>
      </c>
      <c r="P30" s="24" t="n">
        <v>0</v>
      </c>
      <c r="Q30" s="61" t="n">
        <v>0</v>
      </c>
    </row>
    <row r="31">
      <c r="B31" s="62" t="inlineStr"/>
      <c r="C31" s="24" t="n">
        <v>0</v>
      </c>
      <c r="D31" s="24" t="n">
        <v>0</v>
      </c>
      <c r="E31" s="24" t="n">
        <v>0</v>
      </c>
      <c r="F31" s="24" t="n">
        <v>0</v>
      </c>
      <c r="G31" s="24" t="n">
        <v>0</v>
      </c>
      <c r="H31" s="24" t="n">
        <v>0</v>
      </c>
      <c r="I31" s="24" t="n">
        <v>0</v>
      </c>
      <c r="J31" s="24" t="n">
        <v>0</v>
      </c>
      <c r="K31" s="24" t="n">
        <v>0</v>
      </c>
      <c r="L31" s="24" t="n">
        <v>0</v>
      </c>
      <c r="M31" s="24" t="n">
        <v>0</v>
      </c>
      <c r="N31" s="24" t="n">
        <v>0</v>
      </c>
      <c r="O31" s="24" t="n">
        <v>0</v>
      </c>
      <c r="P31" s="24" t="n">
        <v>0</v>
      </c>
      <c r="Q31" s="61" t="n">
        <v>0</v>
      </c>
    </row>
    <row r="32">
      <c r="B32" s="62" t="inlineStr"/>
      <c r="C32" s="24" t="n">
        <v>0</v>
      </c>
      <c r="D32" s="24" t="n">
        <v>0</v>
      </c>
      <c r="E32" s="24" t="n">
        <v>0</v>
      </c>
      <c r="F32" s="24" t="n">
        <v>0</v>
      </c>
      <c r="G32" s="24" t="n">
        <v>0</v>
      </c>
      <c r="H32" s="24" t="n">
        <v>0</v>
      </c>
      <c r="I32" s="24" t="n">
        <v>0</v>
      </c>
      <c r="J32" s="24" t="n">
        <v>0</v>
      </c>
      <c r="K32" s="24" t="n">
        <v>0</v>
      </c>
      <c r="L32" s="24" t="n">
        <v>0</v>
      </c>
      <c r="M32" s="24" t="n">
        <v>0</v>
      </c>
      <c r="N32" s="24" t="n">
        <v>0</v>
      </c>
      <c r="O32" s="24" t="n">
        <v>0</v>
      </c>
      <c r="P32" s="24" t="n">
        <v>0</v>
      </c>
      <c r="Q32" s="61" t="n">
        <v>0</v>
      </c>
    </row>
    <row r="33">
      <c r="B33" s="62" t="inlineStr"/>
      <c r="C33" s="24" t="n">
        <v>0</v>
      </c>
      <c r="D33" s="24" t="n">
        <v>0</v>
      </c>
      <c r="E33" s="24" t="n">
        <v>0</v>
      </c>
      <c r="F33" s="24" t="n">
        <v>0</v>
      </c>
      <c r="G33" s="24" t="n">
        <v>0</v>
      </c>
      <c r="H33" s="24" t="n">
        <v>0</v>
      </c>
      <c r="I33" s="24" t="n">
        <v>0</v>
      </c>
      <c r="J33" s="24" t="n">
        <v>0</v>
      </c>
      <c r="K33" s="24" t="n">
        <v>0</v>
      </c>
      <c r="L33" s="24" t="n">
        <v>0</v>
      </c>
      <c r="M33" s="24" t="n">
        <v>0</v>
      </c>
      <c r="N33" s="24" t="n">
        <v>0</v>
      </c>
      <c r="O33" s="24" t="n">
        <v>0</v>
      </c>
      <c r="P33" s="24" t="n">
        <v>0</v>
      </c>
      <c r="Q33" s="61" t="n">
        <v>0</v>
      </c>
    </row>
    <row r="34">
      <c r="B34" s="62" t="inlineStr"/>
      <c r="C34" s="24" t="n">
        <v>0</v>
      </c>
      <c r="D34" s="24" t="n">
        <v>0</v>
      </c>
      <c r="E34" s="24" t="n">
        <v>0</v>
      </c>
      <c r="F34" s="24" t="n">
        <v>0</v>
      </c>
      <c r="G34" s="24" t="n">
        <v>0</v>
      </c>
      <c r="H34" s="24" t="n">
        <v>0</v>
      </c>
      <c r="I34" s="24" t="n">
        <v>0</v>
      </c>
      <c r="J34" s="24" t="n">
        <v>0</v>
      </c>
      <c r="K34" s="24" t="n">
        <v>0</v>
      </c>
      <c r="L34" s="24" t="n">
        <v>0</v>
      </c>
      <c r="M34" s="24" t="n">
        <v>0</v>
      </c>
      <c r="N34" s="24" t="n">
        <v>0</v>
      </c>
      <c r="O34" s="24" t="n">
        <v>0</v>
      </c>
      <c r="P34" s="24" t="n">
        <v>0</v>
      </c>
      <c r="Q34" s="61" t="n">
        <v>0</v>
      </c>
    </row>
    <row r="35">
      <c r="B35" s="62" t="inlineStr"/>
      <c r="C35" s="24" t="n">
        <v>0</v>
      </c>
      <c r="D35" s="24" t="n">
        <v>0</v>
      </c>
      <c r="E35" s="24" t="n">
        <v>0</v>
      </c>
      <c r="F35" s="24" t="n">
        <v>0</v>
      </c>
      <c r="G35" s="24" t="n">
        <v>0</v>
      </c>
      <c r="H35" s="24" t="n">
        <v>0</v>
      </c>
      <c r="I35" s="24" t="n">
        <v>0</v>
      </c>
      <c r="J35" s="24" t="n">
        <v>0</v>
      </c>
      <c r="K35" s="24" t="n">
        <v>0</v>
      </c>
      <c r="L35" s="24" t="n">
        <v>0</v>
      </c>
      <c r="M35" s="24" t="n">
        <v>0</v>
      </c>
      <c r="N35" s="24" t="n">
        <v>0</v>
      </c>
      <c r="O35" s="24" t="n">
        <v>0</v>
      </c>
      <c r="P35" s="24" t="n">
        <v>0</v>
      </c>
      <c r="Q35" s="61" t="n">
        <v>0</v>
      </c>
    </row>
    <row r="36">
      <c r="B36" s="62" t="inlineStr"/>
      <c r="C36" s="24" t="n">
        <v>0</v>
      </c>
      <c r="D36" s="24" t="n">
        <v>0</v>
      </c>
      <c r="E36" s="24" t="n">
        <v>0</v>
      </c>
      <c r="F36" s="24" t="n">
        <v>0</v>
      </c>
      <c r="G36" s="24" t="n">
        <v>0</v>
      </c>
      <c r="H36" s="24" t="n">
        <v>0</v>
      </c>
      <c r="I36" s="24" t="n">
        <v>0</v>
      </c>
      <c r="J36" s="24" t="n">
        <v>0</v>
      </c>
      <c r="K36" s="24" t="n">
        <v>0</v>
      </c>
      <c r="L36" s="24" t="n">
        <v>0</v>
      </c>
      <c r="M36" s="24" t="n">
        <v>0</v>
      </c>
      <c r="N36" s="24" t="n">
        <v>0</v>
      </c>
      <c r="O36" s="24" t="n">
        <v>0</v>
      </c>
      <c r="P36" s="24" t="n">
        <v>0</v>
      </c>
      <c r="Q36" s="61" t="n">
        <v>0</v>
      </c>
    </row>
  </sheetData>
  <mergeCells count="2">
    <mergeCell ref="B3:P3"/>
    <mergeCell ref="B1:P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G46"/>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45" customWidth="1" min="7" max="7"/>
  </cols>
  <sheetData>
    <row r="1" ht="28" customHeight="1">
      <c r="B1" s="1" t="inlineStr">
        <is>
          <t>MISTURA DE FERTILIZANTES — Produtos, Doses e Custo Estimado</t>
        </is>
      </c>
    </row>
    <row r="3">
      <c r="B3" s="30" t="inlineStr">
        <is>
          <t>Metodologia de seleção: heurística de regras transparentes (não é um solver de otimização por programação linear) - prioriza menor número de produtos e aproveitamento cruzado de nutrientes (ex.: fonte de P que já traz enxofre evita precisar de sulfato de amônio). Todas as escolhas e doses são auditáveis nas fórmulas. Para otimização de custo mínimo real entre múltiplas fontes concorrentes, uma fase futura com Solver/VBA pode ser adicionada - ver Manual Técnico, seção Limitações.</t>
        </is>
      </c>
    </row>
    <row r="4"/>
    <row r="5"/>
    <row r="7" ht="20" customHeight="1">
      <c r="B7" s="4" t="inlineStr">
        <is>
          <t>1. Necessidade de nutrientes (puxada automaticamente da cultura selecionada)</t>
        </is>
      </c>
    </row>
    <row r="8">
      <c r="B8" s="7" t="inlineStr">
        <is>
          <t>Nutriente</t>
        </is>
      </c>
      <c r="C8" s="7" t="inlineStr">
        <is>
          <t>Necessidade (kg/ha)</t>
        </is>
      </c>
    </row>
    <row r="9">
      <c r="B9" s="8" t="inlineStr">
        <is>
          <t>N</t>
        </is>
      </c>
      <c r="C9" s="44">
        <f>IF('Dados de Entrada'!C8="Soja",Soja!C78,IF('Dados de Entrada'!C8="Milho",Milho!C80,'Outras Culturas'!D23))</f>
        <v/>
      </c>
    </row>
    <row r="10">
      <c r="B10" s="8" t="inlineStr">
        <is>
          <t>P2O5</t>
        </is>
      </c>
      <c r="C10" s="44">
        <f>IF('Dados de Entrada'!C8="Soja",Soja!C79,IF('Dados de Entrada'!C8="Milho",Milho!C81,'Outras Culturas'!D24))</f>
        <v/>
      </c>
    </row>
    <row r="11">
      <c r="B11" s="8" t="inlineStr">
        <is>
          <t>K2O</t>
        </is>
      </c>
      <c r="C11" s="44">
        <f>IF('Dados de Entrada'!C8="Soja",Soja!C80,IF('Dados de Entrada'!C8="Milho",Milho!C82,'Outras Culturas'!D25))</f>
        <v/>
      </c>
    </row>
    <row r="12">
      <c r="B12" s="8" t="inlineStr">
        <is>
          <t>S</t>
        </is>
      </c>
      <c r="C12" s="44">
        <f>IF('Dados de Entrada'!C8="Soja",Soja!C81,IF('Dados de Entrada'!C8="Milho",Milho!C83,'Outras Culturas'!D26))</f>
        <v/>
      </c>
    </row>
    <row r="13">
      <c r="B13" s="8" t="inlineStr">
        <is>
          <t>Zn</t>
        </is>
      </c>
      <c r="C13" s="44">
        <f>IF('Dados de Entrada'!C8="Soja",Soja!C82,IF('Dados de Entrada'!C8="Milho",Milho!C84,0))</f>
        <v/>
      </c>
    </row>
    <row r="14">
      <c r="B14" s="8" t="inlineStr">
        <is>
          <t>B</t>
        </is>
      </c>
      <c r="C14" s="44">
        <f>IF('Dados de Entrada'!C8="Soja",Soja!C83,IF('Dados de Entrada'!C8="Milho",Milho!C85,0))</f>
        <v/>
      </c>
    </row>
    <row r="15">
      <c r="B15" s="8" t="inlineStr">
        <is>
          <t>Cu</t>
        </is>
      </c>
      <c r="C15" s="44">
        <f>IF('Dados de Entrada'!C8="Soja",Soja!C84,IF('Dados de Entrada'!C8="Milho",Milho!C86,0))</f>
        <v/>
      </c>
    </row>
    <row r="16">
      <c r="B16" s="8" t="inlineStr">
        <is>
          <t>Mn</t>
        </is>
      </c>
      <c r="C16" s="44">
        <f>IF('Dados de Entrada'!C8="Soja",Soja!C85,IF('Dados de Entrada'!C8="Milho",Milho!C87,0))</f>
        <v/>
      </c>
    </row>
    <row r="17">
      <c r="B17" s="8" t="inlineStr">
        <is>
          <t>Mo</t>
        </is>
      </c>
      <c r="C17" s="44">
        <f>IF('Dados de Entrada'!C8="Soja",Soja!C86,IF('Dados de Entrada'!C8="Milho",Milho!C88,0))</f>
        <v/>
      </c>
    </row>
    <row r="19" ht="20" customHeight="1">
      <c r="B19" s="4" t="inlineStr">
        <is>
          <t>2. Seleção de fontes (heurística)</t>
        </is>
      </c>
    </row>
    <row r="20">
      <c r="B20" s="11" t="inlineStr">
        <is>
          <t>Fonte de P2O5 escolhida</t>
        </is>
      </c>
      <c r="C20" s="31">
        <f>IF(C12&gt;0,"Superfosfato Simples","MAP (11-52-00)")</f>
        <v/>
      </c>
    </row>
    <row r="21">
      <c r="B21" s="11" t="inlineStr">
        <is>
          <t>Fonte de K2O escolhida</t>
        </is>
      </c>
      <c r="C21" s="31">
        <f>IF(Interpretação!E9="Baixo","K-Mag (Sulpomag)","Cloreto de Potássio")</f>
        <v/>
      </c>
    </row>
    <row r="22">
      <c r="B22" s="11" t="inlineStr">
        <is>
          <t>Fonte de N escolhida</t>
        </is>
      </c>
      <c r="C22" s="31">
        <f>IF(C20="Superfosfato Simples","Ureia",IF(C12&gt;0,"Sulfato de Amônio","Ureia"))</f>
        <v/>
      </c>
    </row>
    <row r="23">
      <c r="B23" s="11" t="inlineStr">
        <is>
          <t>Fonte de micronutrientes escolhida</t>
        </is>
      </c>
      <c r="C23" s="31">
        <f>IF(OR(C13&gt;0,C14&gt;0,C15&gt;0,C16&gt;0,C17&gt;0),"FTE BR-12","-")</f>
        <v/>
      </c>
    </row>
    <row r="25" ht="20" customHeight="1">
      <c r="B25" s="4" t="inlineStr">
        <is>
          <t>3. Doses de produto e custo</t>
        </is>
      </c>
    </row>
    <row r="26">
      <c r="B26" s="7" t="inlineStr">
        <is>
          <t>Produto</t>
        </is>
      </c>
      <c r="C26" s="7" t="inlineStr">
        <is>
          <t>Nutriente-alvo</t>
        </is>
      </c>
      <c r="D26" s="7" t="inlineStr">
        <is>
          <t>Dose (kg/ha)</t>
        </is>
      </c>
      <c r="E26" s="7" t="inlineStr">
        <is>
          <t>Total área (kg)</t>
        </is>
      </c>
      <c r="F26" s="7" t="inlineStr">
        <is>
          <t>Preço (R$/t)</t>
        </is>
      </c>
      <c r="G26" s="7" t="inlineStr">
        <is>
          <t>Custo (R$/ha)</t>
        </is>
      </c>
    </row>
    <row r="27">
      <c r="B27" s="31">
        <f>C22</f>
        <v/>
      </c>
      <c r="C27" s="26" t="inlineStr">
        <is>
          <t>N</t>
        </is>
      </c>
      <c r="D27" s="58">
        <f>IF(B27="-",0,IFERROR(C9/(VLOOKUP(B27,TAB_FERT,2,FALSE)/100),0))</f>
        <v/>
      </c>
      <c r="E27" s="52">
        <f>D27*'Dados de Entrada'!C7</f>
        <v/>
      </c>
      <c r="F27" s="52">
        <f>IF(B27="-",0,IFERROR(VLOOKUP(B27,TAB_FERT,16,FALSE),0))</f>
        <v/>
      </c>
      <c r="G27" s="63">
        <f>D27*F27/1000</f>
        <v/>
      </c>
    </row>
    <row r="28">
      <c r="B28" s="31">
        <f>C20</f>
        <v/>
      </c>
      <c r="C28" s="26" t="inlineStr">
        <is>
          <t>P2O5</t>
        </is>
      </c>
      <c r="D28" s="58">
        <f>IF(B28="-",0,IFERROR(C10/(VLOOKUP(B28,TAB_FERT,3,FALSE)/100),0))</f>
        <v/>
      </c>
      <c r="E28" s="52">
        <f>D28*'Dados de Entrada'!C7</f>
        <v/>
      </c>
      <c r="F28" s="52">
        <f>IF(B28="-",0,IFERROR(VLOOKUP(B28,TAB_FERT,16,FALSE),0))</f>
        <v/>
      </c>
      <c r="G28" s="63">
        <f>D28*F28/1000</f>
        <v/>
      </c>
    </row>
    <row r="29">
      <c r="B29" s="31">
        <f>C21</f>
        <v/>
      </c>
      <c r="C29" s="26" t="inlineStr">
        <is>
          <t>K2O</t>
        </is>
      </c>
      <c r="D29" s="58">
        <f>IF(B29="-",0,IFERROR(C11/(VLOOKUP(B29,TAB_FERT,4,FALSE)/100),0))</f>
        <v/>
      </c>
      <c r="E29" s="52">
        <f>D29*'Dados de Entrada'!C7</f>
        <v/>
      </c>
      <c r="F29" s="52">
        <f>IF(B29="-",0,IFERROR(VLOOKUP(B29,TAB_FERT,16,FALSE),0))</f>
        <v/>
      </c>
      <c r="G29" s="63">
        <f>D29*F29/1000</f>
        <v/>
      </c>
    </row>
    <row r="30">
      <c r="B30" s="31">
        <f>C23</f>
        <v/>
      </c>
      <c r="C30" s="26" t="inlineStr">
        <is>
          <t>Zn/B/Cu/Mn/Mo (limitante)</t>
        </is>
      </c>
      <c r="D30" s="58">
        <f>IF(B30="-",0,IFERROR(MAX(C13/9,C14/1.8,C15/0.8,C16/2,C17/0.1)*9/(VLOOKUP(B30,TAB_FERT,12,FALSE)/100),0))</f>
        <v/>
      </c>
      <c r="E30" s="52">
        <f>D30*'Dados de Entrada'!C7</f>
        <v/>
      </c>
      <c r="F30" s="52">
        <f>IF(B30="-",0,IFERROR(VLOOKUP(B30,TAB_FERT,16,FALSE),0))</f>
        <v/>
      </c>
      <c r="G30" s="63">
        <f>D30*F30/1000</f>
        <v/>
      </c>
    </row>
    <row r="32" ht="20" customHeight="1">
      <c r="B32" s="4" t="inlineStr">
        <is>
          <t>4. Balanço de Enxofre (informativo)</t>
        </is>
      </c>
    </row>
    <row r="33">
      <c r="B33" s="11" t="inlineStr">
        <is>
          <t>S necessário pela cultura (kg/ha)</t>
        </is>
      </c>
      <c r="C33" s="49">
        <f>C12</f>
        <v/>
      </c>
    </row>
    <row r="34">
      <c r="B34" s="11" t="inlineStr">
        <is>
          <t>S suprido pela fonte de N escolhida (kg/ha)</t>
        </is>
      </c>
      <c r="C34" s="49">
        <f>D27*VLOOKUP(B27,TAB_FERT,5,FALSE)/100</f>
        <v/>
      </c>
    </row>
    <row r="35">
      <c r="B35" s="11" t="inlineStr">
        <is>
          <t>S suprido pela fonte de P escolhida (kg/ha)</t>
        </is>
      </c>
      <c r="C35" s="49">
        <f>D28*VLOOKUP(B28,TAB_FERT,5,FALSE)/100</f>
        <v/>
      </c>
    </row>
    <row r="36">
      <c r="B36" s="11" t="inlineStr">
        <is>
          <t>S suprido pelo gesso agrícola recomendado (kg/ha)</t>
        </is>
      </c>
      <c r="C36" s="37">
        <f>Gessagem!C22</f>
        <v/>
      </c>
    </row>
    <row r="37">
      <c r="B37" s="41" t="inlineStr">
        <is>
          <t>Saldo de S (necessário - suprido)</t>
        </is>
      </c>
      <c r="C37" s="58">
        <f>C12-C34-C35-C36</f>
        <v/>
      </c>
    </row>
    <row r="38">
      <c r="B38" s="43" t="inlineStr">
        <is>
          <t>Se o saldo for positivo (faltando S), considere substituir a fonte de K por Sulfato de Potássio ou adicionar gesso/sulfato adicional.</t>
        </is>
      </c>
    </row>
    <row r="40" ht="20" customHeight="1">
      <c r="B40" s="4" t="inlineStr">
        <is>
          <t>5. Resumo de Custo</t>
        </is>
      </c>
    </row>
    <row r="41">
      <c r="B41" s="11" t="inlineStr">
        <is>
          <t>Número de produtos utilizados</t>
        </is>
      </c>
      <c r="C41" s="39">
        <f>SUMPRODUCT(--(D27:D30&gt;0))</f>
        <v/>
      </c>
    </row>
    <row r="42">
      <c r="B42" s="41" t="inlineStr">
        <is>
          <t>Custo total de fertilizantes (R$/ha)</t>
        </is>
      </c>
      <c r="C42" s="64">
        <f>SUM(G27:G30)</f>
        <v/>
      </c>
    </row>
    <row r="43">
      <c r="B43" s="11" t="inlineStr">
        <is>
          <t>Custo total de calcário (R$/ha)</t>
        </is>
      </c>
      <c r="C43" s="63">
        <f>Calagem!C27*VLOOKUP("Calcário Dolomítico (PRNT 90%)",TAB_FERT,16,FALSE)</f>
        <v/>
      </c>
    </row>
    <row r="44">
      <c r="B44" s="11" t="inlineStr">
        <is>
          <t>Custo total de gesso (R$/ha)</t>
        </is>
      </c>
      <c r="C44" s="63">
        <f>Gessagem!C20/1000*VLOOKUP("Gesso Agrícola",TAB_FERT,16,FALSE)</f>
        <v/>
      </c>
    </row>
    <row r="45">
      <c r="B45" s="41" t="inlineStr">
        <is>
          <t>CUSTO TOTAL DE CORREÇÃO + ADUBAÇÃO (R$/ha)</t>
        </is>
      </c>
      <c r="C45" s="64">
        <f>C42+C43+C44</f>
        <v/>
      </c>
    </row>
    <row r="46">
      <c r="B46" s="41" t="inlineStr">
        <is>
          <t>CUSTO TOTAL PARA A ÁREA (R$)</t>
        </is>
      </c>
      <c r="C46" s="64">
        <f>C45*'Dados de Entrada'!C7</f>
        <v/>
      </c>
    </row>
  </sheetData>
  <mergeCells count="8">
    <mergeCell ref="B38:G38"/>
    <mergeCell ref="B19:G19"/>
    <mergeCell ref="B3:G5"/>
    <mergeCell ref="B1:G1"/>
    <mergeCell ref="B32:G32"/>
    <mergeCell ref="B40:G40"/>
    <mergeCell ref="B7:G7"/>
    <mergeCell ref="B25:G2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H3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30" customWidth="1" min="8" max="8"/>
  </cols>
  <sheetData>
    <row r="1" ht="30" customHeight="1">
      <c r="B1" s="1" t="inlineStr">
        <is>
          <t>RESUMO — Diagnóstico, Balanço Nutricional e Custo</t>
        </is>
      </c>
    </row>
    <row r="3" ht="20" customHeight="1">
      <c r="B3" s="4" t="inlineStr">
        <is>
          <t>1. Identificação</t>
        </is>
      </c>
    </row>
    <row r="4">
      <c r="B4" s="11" t="inlineStr">
        <is>
          <t>Fazenda/Talhão</t>
        </is>
      </c>
      <c r="C4" s="38">
        <f>'Dados de Entrada'!C4</f>
        <v/>
      </c>
    </row>
    <row r="5">
      <c r="B5" s="11" t="inlineStr">
        <is>
          <t>Município/UF</t>
        </is>
      </c>
      <c r="C5" s="38">
        <f>'Dados de Entrada'!C5</f>
        <v/>
      </c>
    </row>
    <row r="6">
      <c r="B6" s="11" t="inlineStr">
        <is>
          <t>Cultura</t>
        </is>
      </c>
      <c r="C6" s="38">
        <f>'Dados de Entrada'!C8</f>
        <v/>
      </c>
    </row>
    <row r="7">
      <c r="B7" s="11" t="inlineStr">
        <is>
          <t>Área (ha)</t>
        </is>
      </c>
      <c r="C7" s="55">
        <f>'Dados de Entrada'!C7</f>
        <v/>
      </c>
    </row>
    <row r="8">
      <c r="B8" s="11" t="inlineStr">
        <is>
          <t>Produtividade meta</t>
        </is>
      </c>
      <c r="C8" s="37">
        <f>'Dados de Entrada'!C9</f>
        <v/>
      </c>
    </row>
    <row r="10" ht="20" customHeight="1">
      <c r="B10" s="4" t="inlineStr">
        <is>
          <t>2. Diagnóstico do Solo</t>
        </is>
      </c>
    </row>
    <row r="11">
      <c r="B11" s="11" t="inlineStr">
        <is>
          <t>Limitações identificadas (Muito baixo/Baixo, ou m% Alto)</t>
        </is>
      </c>
      <c r="C11" s="65">
        <f>Interpretação!B22</f>
        <v/>
      </c>
    </row>
    <row r="14" ht="20" customHeight="1">
      <c r="B14" s="4" t="inlineStr">
        <is>
          <t>3. Correção do Solo</t>
        </is>
      </c>
    </row>
    <row r="15">
      <c r="B15" s="11" t="inlineStr">
        <is>
          <t>Método de calagem recomendado</t>
        </is>
      </c>
      <c r="C15" s="38">
        <f>Calagem!C26</f>
        <v/>
      </c>
    </row>
    <row r="16">
      <c r="B16" s="11" t="inlineStr">
        <is>
          <t>Calcário - dose final (t/ha)</t>
        </is>
      </c>
      <c r="C16" s="32">
        <f>Calagem!C27</f>
        <v/>
      </c>
    </row>
    <row r="17">
      <c r="B17" s="11" t="inlineStr">
        <is>
          <t>Calcário - total área (t)</t>
        </is>
      </c>
      <c r="C17" s="66">
        <f>Calagem!C28</f>
        <v/>
      </c>
    </row>
    <row r="18">
      <c r="B18" s="11" t="inlineStr">
        <is>
          <t>Gesso - recomendado?</t>
        </is>
      </c>
      <c r="C18" s="38">
        <f>Gessagem!C15</f>
        <v/>
      </c>
    </row>
    <row r="19">
      <c r="B19" s="11" t="inlineStr">
        <is>
          <t>Gesso - dose (kg/ha)</t>
        </is>
      </c>
      <c r="C19" s="67">
        <f>Gessagem!C20</f>
        <v/>
      </c>
    </row>
    <row r="21" ht="20" customHeight="1">
      <c r="B21" s="4" t="inlineStr">
        <is>
          <t>4. Balanço Nutricional (kg/ha)</t>
        </is>
      </c>
    </row>
    <row r="22">
      <c r="B22" s="7" t="inlineStr">
        <is>
          <t>Nutriente</t>
        </is>
      </c>
      <c r="C22" s="7" t="inlineStr">
        <is>
          <t>Necessidade (kg/ha)</t>
        </is>
      </c>
      <c r="D22" s="7" t="inlineStr">
        <is>
          <t>Classe do solo</t>
        </is>
      </c>
      <c r="E22" s="7" t="inlineStr">
        <is>
          <t>Score (1-6)</t>
        </is>
      </c>
    </row>
    <row r="23">
      <c r="B23" s="8" t="inlineStr">
        <is>
          <t>N</t>
        </is>
      </c>
      <c r="C23" s="44">
        <f>'Mistura de Fertilizantes'!C9</f>
        <v/>
      </c>
      <c r="D23" s="31" t="inlineStr">
        <is>
          <t>-</t>
        </is>
      </c>
      <c r="E23" s="39" t="inlineStr"/>
    </row>
    <row r="24">
      <c r="B24" s="8" t="inlineStr">
        <is>
          <t>P2O5</t>
        </is>
      </c>
      <c r="C24" s="44">
        <f>'Mistura de Fertilizantes'!C10</f>
        <v/>
      </c>
      <c r="D24" s="31">
        <f>Interpretação!E6</f>
        <v/>
      </c>
      <c r="E24" s="39">
        <f>IF(D24="Muito baixo",1,IF(D24="Baixo",2,IF(D24="Médio",3,IF(D24="Adequado",4,IF(D24="Alto",5,IF(D24="Muito alto",6,""))))))</f>
        <v/>
      </c>
    </row>
    <row r="25">
      <c r="B25" s="8" t="inlineStr">
        <is>
          <t>K2O</t>
        </is>
      </c>
      <c r="C25" s="44">
        <f>'Mistura de Fertilizantes'!C11</f>
        <v/>
      </c>
      <c r="D25" s="31">
        <f>Interpretação!E7</f>
        <v/>
      </c>
      <c r="E25" s="39">
        <f>IF(D25="Muito baixo",1,IF(D25="Baixo",2,IF(D25="Médio",3,IF(D25="Adequado",4,IF(D25="Alto",5,IF(D25="Muito alto",6,""))))))</f>
        <v/>
      </c>
    </row>
    <row r="26">
      <c r="B26" s="8" t="inlineStr">
        <is>
          <t>S</t>
        </is>
      </c>
      <c r="C26" s="44">
        <f>'Mistura de Fertilizantes'!C12</f>
        <v/>
      </c>
      <c r="D26" s="31">
        <f>Interpretação!E12</f>
        <v/>
      </c>
      <c r="E26" s="39">
        <f>IF(D26="Muito baixo",1,IF(D26="Baixo",2,IF(D26="Médio",3,IF(D26="Adequado",4,IF(D26="Alto",5,IF(D26="Muito alto",6,""))))))</f>
        <v/>
      </c>
    </row>
    <row r="27">
      <c r="B27" s="8" t="inlineStr">
        <is>
          <t>Zn</t>
        </is>
      </c>
      <c r="C27" s="44">
        <f>'Mistura de Fertilizantes'!C13</f>
        <v/>
      </c>
      <c r="D27" s="31">
        <f>Interpretação!E13</f>
        <v/>
      </c>
      <c r="E27" s="39">
        <f>IF(D27="Muito baixo",1,IF(D27="Baixo",2,IF(D27="Médio",3,IF(D27="Adequado",4,IF(D27="Alto",5,IF(D27="Muito alto",6,""))))))</f>
        <v/>
      </c>
    </row>
    <row r="28">
      <c r="B28" s="8" t="inlineStr">
        <is>
          <t>B</t>
        </is>
      </c>
      <c r="C28" s="44">
        <f>'Mistura de Fertilizantes'!C14</f>
        <v/>
      </c>
      <c r="D28" s="31">
        <f>Interpretação!E17</f>
        <v/>
      </c>
      <c r="E28" s="39">
        <f>IF(D28="Muito baixo",1,IF(D28="Baixo",2,IF(D28="Médio",3,IF(D28="Adequado",4,IF(D28="Alto",5,IF(D28="Muito alto",6,""))))))</f>
        <v/>
      </c>
    </row>
    <row r="29">
      <c r="B29" s="8" t="inlineStr">
        <is>
          <t>Cu</t>
        </is>
      </c>
      <c r="C29" s="44">
        <f>'Mistura de Fertilizantes'!C15</f>
        <v/>
      </c>
      <c r="D29" s="31">
        <f>Interpretação!E14</f>
        <v/>
      </c>
      <c r="E29" s="39">
        <f>IF(D29="Muito baixo",1,IF(D29="Baixo",2,IF(D29="Médio",3,IF(D29="Adequado",4,IF(D29="Alto",5,IF(D29="Muito alto",6,""))))))</f>
        <v/>
      </c>
    </row>
    <row r="30">
      <c r="B30" s="8" t="inlineStr">
        <is>
          <t>Mn</t>
        </is>
      </c>
      <c r="C30" s="44">
        <f>'Mistura de Fertilizantes'!C16</f>
        <v/>
      </c>
      <c r="D30" s="31">
        <f>Interpretação!E15</f>
        <v/>
      </c>
      <c r="E30" s="39">
        <f>IF(D30="Muito baixo",1,IF(D30="Baixo",2,IF(D30="Médio",3,IF(D30="Adequado",4,IF(D30="Alto",5,IF(D30="Muito alto",6,""))))))</f>
        <v/>
      </c>
    </row>
    <row r="31">
      <c r="B31" s="8" t="inlineStr">
        <is>
          <t>Mo</t>
        </is>
      </c>
      <c r="C31" s="44">
        <f>'Mistura de Fertilizantes'!C17</f>
        <v/>
      </c>
      <c r="D31" s="31">
        <f>Interpretação!E18</f>
        <v/>
      </c>
      <c r="E31" s="39">
        <f>IF(D31="Muito baixo",1,IF(D31="Baixo",2,IF(D31="Médio",3,IF(D31="Adequado",4,IF(D31="Alto",5,IF(D31="Muito alto",6,""))))))</f>
        <v/>
      </c>
    </row>
    <row r="33" ht="20" customHeight="1">
      <c r="B33" s="4" t="inlineStr">
        <is>
          <t>5. Custo</t>
        </is>
      </c>
    </row>
    <row r="34">
      <c r="B34" s="11" t="inlineStr">
        <is>
          <t>Custo de correção + adubação (R$/ha)</t>
        </is>
      </c>
      <c r="C34" s="55">
        <f>'Mistura de Fertilizantes'!C45</f>
        <v/>
      </c>
    </row>
    <row r="35">
      <c r="B35" s="11" t="inlineStr">
        <is>
          <t>Custo total para a área (R$)</t>
        </is>
      </c>
      <c r="C35" s="55">
        <f>'Mistura de Fertilizantes'!C46</f>
        <v/>
      </c>
    </row>
    <row r="38" ht="20" customHeight="1">
      <c r="B38" s="4" t="inlineStr">
        <is>
          <t>6. Gráficos</t>
        </is>
      </c>
    </row>
  </sheetData>
  <mergeCells count="8">
    <mergeCell ref="C11:H11"/>
    <mergeCell ref="B14:H14"/>
    <mergeCell ref="B1:H1"/>
    <mergeCell ref="B21:H21"/>
    <mergeCell ref="B38:H38"/>
    <mergeCell ref="B10:H10"/>
    <mergeCell ref="B33:H33"/>
    <mergeCell ref="B3:H3"/>
  </mergeCells>
  <conditionalFormatting sqref="E23:E31">
    <cfRule type="colorScale" priority="1">
      <colorScale>
        <cfvo type="min"/>
        <cfvo type="percentile" val="50"/>
        <cfvo type="max"/>
        <color rgb="00C0392B"/>
        <color rgb="00F1C40F"/>
        <color rgb="0027AE60"/>
      </colorScale>
    </cfRule>
  </conditionalFormatting>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B1:B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5" customWidth="1" min="2" max="2"/>
  </cols>
  <sheetData>
    <row r="1" ht="28" customHeight="1">
      <c r="B1" s="1" t="inlineStr">
        <is>
          <t>REFERÊNCIAS BIBLIOGRÁFICAS</t>
        </is>
      </c>
    </row>
    <row r="3" ht="45" customHeight="1">
      <c r="B3" s="6" t="inlineStr">
        <is>
          <t>RAIJ, B. van; CANTARELLA, H.; QUAGGIO, J.A.; FURLANI, A.M.C. (Eds.). Recomendações de Adubação e Calagem para o Estado de São Paulo. Boletim Técnico 100, 2ª ed. Campinas: Instituto Agronômico (IAC), 1997.</t>
        </is>
      </c>
    </row>
    <row r="4" ht="30" customHeight="1">
      <c r="B4" s="6" t="inlineStr">
        <is>
          <t>SOUSA, D.M.G. de; LOBATO, E. (Eds.). Cerrado: Correção do Solo e Adubação. 2ª ed. Brasília: Embrapa Informação Tecnológica / Embrapa Cerrados, 2004.</t>
        </is>
      </c>
    </row>
    <row r="5" ht="30" customHeight="1">
      <c r="B5" s="6" t="inlineStr">
        <is>
          <t>SOUSA, D.M.G. de; LOBATO, E. Uso de Gesso Agrícola nos Solos do Cerrado. Circular Técnica 32. Planaltina: Embrapa Cerrados, 2004.</t>
        </is>
      </c>
    </row>
    <row r="6" ht="30" customHeight="1">
      <c r="B6" s="6" t="inlineStr">
        <is>
          <t>KAMPRATH, E.J. Exchangeable aluminum as a criterion for liming leached mineral soils. Soil Science Society of America Proceedings, v.34, p.252-254, 1970.</t>
        </is>
      </c>
    </row>
    <row r="7" ht="30" customHeight="1">
      <c r="B7" s="6" t="inlineStr">
        <is>
          <t>SFREDO, G.J. Soja no Brasil: calagem, adubação e nutrição mineral. Documentos 305. Londrina: Embrapa Soja, 2008.</t>
        </is>
      </c>
    </row>
    <row r="8" ht="30" customHeight="1">
      <c r="B8" s="6" t="inlineStr">
        <is>
          <t>COELHO, A.M. Nutrição e Adubação do Milho. Circular Técnica 78. Sete Lagoas: Embrapa Milho e Sorgo, 2006.</t>
        </is>
      </c>
    </row>
    <row r="9" ht="18" customHeight="1">
      <c r="B9" s="6" t="inlineStr">
        <is>
          <t>MALAVOLTA, E. Manual de Nutrição Mineral de Plantas. São Paulo: Editora Agronômica Ceres, 2006.</t>
        </is>
      </c>
    </row>
    <row r="10" ht="45" customHeight="1">
      <c r="B10" s="6" t="inlineStr">
        <is>
          <t>SOCIEDADE BRASILEIRA DE CIÊNCIA DO SOLO (SBCS). Manual de Calagem e Adubação para os Estados do Rio Grande do Sul e de Santa Catarina. Comissão de Química e Fertilidade do Solo - RS/SC, 11ª ed., 2016.</t>
        </is>
      </c>
    </row>
    <row r="11" ht="45" customHeight="1">
      <c r="B11" s="6" t="inlineStr">
        <is>
          <t>ALVAREZ V., V.H.; RIBEIRO, A.C. Calagem. In: RIBEIRO, A.C.; GUIMARÃES, P.T.G.; ALVAREZ V., V.H. (Eds.) Recomendações para o uso de corretivos e fertilizantes em Minas Gerais - 5ª Aproximação. Viçosa: CFSEMG, 1999.</t>
        </is>
      </c>
    </row>
    <row r="12" ht="30" customHeight="1">
      <c r="B12" s="6" t="inlineStr">
        <is>
          <t>FUNDAÇÃO MT. Boletim de Pesquisa de Soja / Boletim 200 (referência institucional - valores numéricos específicos não confirmados nesta versão; consultar publicação atualizada da Fundação MT).</t>
        </is>
      </c>
    </row>
    <row r="13" ht="30" customHeight="1">
      <c r="B13" s="6" t="inlineStr">
        <is>
          <t>FAGERIA, N.K.; BALIGAR, V.C. Ameliorating soil acidity of tropical Oxisols by liming for sustainable crop production. Advances in Agronomy, v.99, 2008.</t>
        </is>
      </c>
    </row>
    <row r="14" ht="30" customHeight="1">
      <c r="B14" s="6" t="inlineStr">
        <is>
          <t>NOVAIS, R.F.; ALVAREZ V., V.H.; BARROS, N.F.; FONTES, R.L.F.; CANTARUTTI, R.B.; NEVES, J.C.L. (Eds.) Fertilidade do Solo. Viçosa: SBCS, 2007.</t>
        </is>
      </c>
    </row>
    <row r="15" ht="30" customHeight="1">
      <c r="B15" s="6" t="inlineStr">
        <is>
          <t>VITTI, G.C.; MALAVOLTA, E. Gesso agrícola: adubo e/ou corretivo? In: Simpósio sobre gessagem em cultivos agrícolas. Anais. Piracicaba, ESALQ.</t>
        </is>
      </c>
    </row>
    <row r="16" ht="45" customHeight="1">
      <c r="B16" s="6" t="inlineStr">
        <is>
          <t>ZANON, A.J. et al. Estimativa da produtividade potencial e dos fatores limitantes, redutores e reguladores de rendimento da cultura da soja no Brasil (referência institucional para curvas de resposta em altas produtividades - coeficientes específicos de K não confirmados nesta versão).</t>
        </is>
      </c>
    </row>
    <row r="17" ht="30" customHeight="1">
      <c r="B17" s="6" t="inlineStr">
        <is>
          <t>EMBRAPA GADO DE CORTE. Recomendações de adubação e calagem para pastagens (referência institucional - consultar publicação específica por espécie forrageira e região).</t>
        </is>
      </c>
    </row>
    <row r="18" ht="75" customHeight="1">
      <c r="B18" s="6" t="inlineStr">
        <is>
          <t>AGRADECIMENTOS/AVISO: parte da compilação desta planilha envolveu pesquisa bibliográfica assistida por IA em fontes secundárias (motores de busca) quando o texto integral das obras primárias não pôde ser acessado diretamente. Onde isso ocorreu, o nível de confiança foi rebaixado e sinalizado explicitamente no Manual Técnico e nas respectivas abas - recomenda-se validação contra o documento original antes de uso comercial.</t>
        </is>
      </c>
    </row>
  </sheetData>
  <mergeCells count="1">
    <mergeCell ref="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2026-08-01T00:56:44Z</dcterms:created>
  <dcterms:modified xsi:type="dcterms:W3CDTF">2026-08-01T00:56:48Z</dcterms:modified>
</cp:coreProperties>
</file>